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ject Info" sheetId="2" state="visible" r:id="rId2"/>
    <sheet name="Lines" sheetId="3" state="visible" r:id="rId3"/>
    <sheet name="Markups" sheetId="4" state="visible" r:id="rId4"/>
    <sheet name="Breakout" sheetId="5" state="visible" r:id="rId5"/>
    <sheet name="Proposal" sheetId="6" state="visible" r:id="rId6"/>
    <sheet name="Lists" sheetId="7" state="hidden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$#,##0.00;($#,##0.00)"/>
    <numFmt numFmtId="166" formatCode="$#,##0;($#,##0)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i val="1"/>
      <color rgb="00C00000"/>
      <sz val="8"/>
    </font>
    <font>
      <name val="Arial"/>
      <b val="1"/>
      <color rgb="00595959"/>
      <sz val="9"/>
    </font>
    <font>
      <name val="Arial"/>
      <b val="1"/>
      <color rgb="00C00000"/>
      <sz val="10"/>
    </font>
    <font>
      <name val="Arial"/>
      <color rgb="00008000"/>
      <sz val="10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4472A8"/>
      </patternFill>
    </fill>
    <fill>
      <patternFill patternType="solid">
        <fgColor rgb="001F4E78"/>
      </patternFill>
    </fill>
    <fill>
      <patternFill patternType="solid">
        <fgColor rgb="00FFFFCC"/>
      </patternFill>
    </fill>
    <fill>
      <patternFill patternType="solid">
        <fgColor rgb="002E5C8A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0" fontId="5" fillId="5" borderId="0" applyAlignment="1" pivotButton="0" quotePrefix="0" xfId="0">
      <alignment horizontal="left" vertical="center" indent="1"/>
    </xf>
    <xf numFmtId="166" fontId="10" fillId="0" borderId="0" pivotButton="0" quotePrefix="0" xfId="0"/>
    <xf numFmtId="0" fontId="11" fillId="3" borderId="0" applyAlignment="1" pivotButton="0" quotePrefix="0" xfId="0">
      <alignment horizontal="right" vertical="center" indent="1"/>
    </xf>
    <xf numFmtId="166" fontId="11" fillId="3" borderId="0" pivotButton="0" quotePrefix="0" xfId="0"/>
    <xf numFmtId="0" fontId="1" fillId="2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166" fontId="10" fillId="0" borderId="1" pivotButton="0" quotePrefix="0" xfId="0"/>
    <xf numFmtId="10" fontId="6" fillId="0" borderId="1" pivotButton="0" quotePrefix="0" xfId="0"/>
    <xf numFmtId="10" fontId="10" fillId="0" borderId="0" pivotButton="0" quotePrefix="0" xfId="0"/>
    <xf numFmtId="0" fontId="6" fillId="0" borderId="0" pivotButton="0" quotePrefix="0" xfId="0"/>
    <xf numFmtId="0" fontId="4" fillId="4" borderId="1" pivotButton="0" quotePrefix="0" xfId="0"/>
    <xf numFmtId="164" fontId="4" fillId="4" borderId="1" pivotButton="0" quotePrefix="0" xfId="0"/>
    <xf numFmtId="3" fontId="4" fillId="4" borderId="1" pivotButton="0" quotePrefix="0" xfId="0"/>
    <xf numFmtId="0" fontId="3" fillId="0" borderId="0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4" borderId="0" pivotButton="0" quotePrefix="0" xfId="0"/>
    <xf numFmtId="4" fontId="4" fillId="4" borderId="0" pivotButton="0" quotePrefix="0" xfId="0"/>
    <xf numFmtId="0" fontId="4" fillId="4" borderId="0" applyAlignment="1" pivotButton="0" quotePrefix="0" xfId="0">
      <alignment horizontal="center" vertical="center"/>
    </xf>
    <xf numFmtId="165" fontId="4" fillId="4" borderId="0" pivotButton="0" quotePrefix="0" xfId="0"/>
    <xf numFmtId="165" fontId="6" fillId="0" borderId="0" pivotButton="0" quotePrefix="0" xfId="0"/>
    <xf numFmtId="10" fontId="4" fillId="4" borderId="0" pivotButton="0" quotePrefix="0" xfId="0"/>
    <xf numFmtId="10" fontId="4" fillId="4" borderId="1" pivotButton="0" quotePrefix="0" xfId="0"/>
    <xf numFmtId="10" fontId="9" fillId="4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3" fillId="0" borderId="1" pivotButton="0" quotePrefix="0" xfId="0"/>
    <xf numFmtId="0" fontId="3" fillId="7" borderId="0" pivotButton="0" quotePrefix="0" xfId="0"/>
    <xf numFmtId="165" fontId="3" fillId="7" borderId="1" pivotButton="0" quotePrefix="0" xfId="0"/>
    <xf numFmtId="166" fontId="3" fillId="7" borderId="1" pivotButton="0" quotePrefix="0" xfId="0"/>
    <xf numFmtId="166" fontId="11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165" fontId="4" fillId="4" borderId="1" pivotButton="0" quotePrefix="0" xfId="0"/>
    <xf numFmtId="0" fontId="0" fillId="0" borderId="1" pivotButton="0" quotePrefix="0" xfId="0"/>
    <xf numFmtId="166" fontId="6" fillId="0" borderId="0" pivotButton="0" quotePrefix="0" xfId="0"/>
    <xf numFmtId="0" fontId="0" fillId="7" borderId="0" pivotButton="0" quotePrefix="0" xfId="0"/>
    <xf numFmtId="166" fontId="3" fillId="7" borderId="0" pivotButton="0" quotePrefix="0" xfId="0"/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LinesTable" displayName="LinesTable" ref="A3:U303" headerRowCount="1">
  <autoFilter ref="A3:U303"/>
  <tableColumns count="21">
    <tableColumn id="1" name="Scope"/>
    <tableColumn id="2" name="CSI Code"/>
    <tableColumn id="3" name="Spec No."/>
    <tableColumn id="4" name="Spec Title"/>
    <tableColumn id="5" name="Plan Callout"/>
    <tableColumn id="6" name="Description"/>
    <tableColumn id="7" name="Model No."/>
    <tableColumn id="8" name="Manufacturer"/>
    <tableColumn id="9" name="Qty"/>
    <tableColumn id="10" name="UOM"/>
    <tableColumn id="11" name="Unit Material Cost"/>
    <tableColumn id="12" name="Ext Material"/>
    <tableColumn id="13" name="Freight (Ext $)"/>
    <tableColumn id="14" name="Labor/Install (Ext $)"/>
    <tableColumn id="15" name="Line Total"/>
    <tableColumn id="16" name="Breakout Group"/>
    <tableColumn id="17" name="Esc Override % (reference only)"/>
    <tableColumn id="18" name="Quote Vendor"/>
    <tableColumn id="19" name="Source"/>
    <tableColumn id="20" name="Has Backup"/>
    <tableColumn id="21" name="Notes / Remark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</cols>
  <sheetData>
    <row r="1" ht="22" customHeight="1">
      <c r="A1" s="1" t="inlineStr">
        <is>
          <t>ESTIMATE SUMMARY — BOTTOM LINE</t>
        </is>
      </c>
    </row>
    <row r="3">
      <c r="A3" s="2" t="inlineStr">
        <is>
          <t>Project Name</t>
        </is>
      </c>
      <c r="B3" s="3">
        <f>'Project Info'!B4</f>
        <v/>
      </c>
    </row>
    <row r="4">
      <c r="A4" s="2" t="inlineStr">
        <is>
          <t>Estimate Number</t>
        </is>
      </c>
      <c r="B4" s="3">
        <f>'Project Info'!B3</f>
        <v/>
      </c>
    </row>
    <row r="5">
      <c r="A5" s="2" t="inlineStr">
        <is>
          <t>GC / Client</t>
        </is>
      </c>
      <c r="B5" s="3">
        <f>'Project Info'!B5</f>
        <v/>
      </c>
    </row>
    <row r="6">
      <c r="A6" s="2" t="inlineStr">
        <is>
          <t>Estimator</t>
        </is>
      </c>
      <c r="B6" s="3">
        <f>'Project Info'!B6</f>
        <v/>
      </c>
    </row>
    <row r="7">
      <c r="A7" s="2" t="inlineStr">
        <is>
          <t>Due Date</t>
        </is>
      </c>
      <c r="B7" s="4">
        <f>'Project Info'!B11</f>
        <v/>
      </c>
    </row>
    <row r="9" ht="18" customHeight="1">
      <c r="A9" s="5" t="inlineStr">
        <is>
          <t>COST BREAKDOWN (active scopes only)</t>
        </is>
      </c>
    </row>
    <row r="10">
      <c r="A10" s="2" t="inlineStr">
        <is>
          <t>Material</t>
        </is>
      </c>
      <c r="C10" s="6">
        <f>Markups!D33</f>
        <v/>
      </c>
    </row>
    <row r="11">
      <c r="A11" s="2" t="inlineStr">
        <is>
          <t>Freight</t>
        </is>
      </c>
      <c r="C11" s="6">
        <f>Markups!E33</f>
        <v/>
      </c>
    </row>
    <row r="12">
      <c r="A12" s="2" t="inlineStr">
        <is>
          <t>Labor</t>
        </is>
      </c>
      <c r="C12" s="6">
        <f>Markups!F33</f>
        <v/>
      </c>
    </row>
    <row r="13">
      <c r="A13" s="2" t="inlineStr">
        <is>
          <t>Tax</t>
        </is>
      </c>
      <c r="C13" s="6">
        <f>Markups!H33</f>
        <v/>
      </c>
    </row>
    <row r="14">
      <c r="A14" s="2" t="inlineStr">
        <is>
          <t>Contingency</t>
        </is>
      </c>
      <c r="C14" s="6">
        <f>Markups!K33</f>
        <v/>
      </c>
    </row>
    <row r="15">
      <c r="A15" s="2" t="inlineStr">
        <is>
          <t>Escalation</t>
        </is>
      </c>
      <c r="C15" s="6">
        <f>Markups!M33</f>
        <v/>
      </c>
    </row>
    <row r="16">
      <c r="A16" s="2" t="inlineStr">
        <is>
          <t>Overhead</t>
        </is>
      </c>
      <c r="C16" s="6">
        <f>Markups!O33</f>
        <v/>
      </c>
    </row>
    <row r="17">
      <c r="A17" s="2" t="inlineStr">
        <is>
          <t>Fee</t>
        </is>
      </c>
      <c r="C17" s="6">
        <f>Markups!R33</f>
        <v/>
      </c>
    </row>
    <row r="18">
      <c r="A18" s="2" t="inlineStr">
        <is>
          <t>Bond / Insurance</t>
        </is>
      </c>
      <c r="C18" s="6">
        <f>Markups!U33</f>
        <v/>
      </c>
    </row>
    <row r="19">
      <c r="A19" s="2" t="inlineStr">
        <is>
          <t>Grand Total (pre-adjustment)</t>
        </is>
      </c>
      <c r="C19" s="6">
        <f>Markups!V33</f>
        <v/>
      </c>
    </row>
    <row r="20">
      <c r="A20" s="2" t="inlineStr">
        <is>
          <t>Adjustments</t>
        </is>
      </c>
      <c r="C20" s="6">
        <f>Markups!W33</f>
        <v/>
      </c>
    </row>
    <row r="22" ht="22" customHeight="1">
      <c r="A22" s="7" t="inlineStr">
        <is>
          <t>GRAND TOTAL (bottom line)</t>
        </is>
      </c>
      <c r="C22" s="8">
        <f>Markups!X33</f>
        <v/>
      </c>
    </row>
    <row r="24" ht="18" customHeight="1">
      <c r="A24" s="5" t="inlineStr">
        <is>
          <t>PER-SCOPE GRAND TOTALS</t>
        </is>
      </c>
    </row>
    <row r="25">
      <c r="A25" s="9" t="inlineStr">
        <is>
          <t>Scope</t>
        </is>
      </c>
      <c r="B25" s="9" t="inlineStr">
        <is>
          <t>Active</t>
        </is>
      </c>
      <c r="C25" s="9" t="inlineStr">
        <is>
          <t>Grand Total</t>
        </is>
      </c>
      <c r="D25" s="9" t="inlineStr">
        <is>
          <t>% of Bottom Line</t>
        </is>
      </c>
    </row>
    <row r="26">
      <c r="A26" s="10">
        <f>Markups!A13</f>
        <v/>
      </c>
      <c r="B26" s="11">
        <f>Markups!C13</f>
        <v/>
      </c>
      <c r="C26" s="12">
        <f>Markups!X13</f>
        <v/>
      </c>
      <c r="D26" s="13">
        <f>IFERROR(C26/Markups!X33,"")</f>
        <v/>
      </c>
    </row>
    <row r="27">
      <c r="A27" s="10">
        <f>Markups!A14</f>
        <v/>
      </c>
      <c r="B27" s="11">
        <f>Markups!C14</f>
        <v/>
      </c>
      <c r="C27" s="12">
        <f>Markups!X14</f>
        <v/>
      </c>
      <c r="D27" s="13">
        <f>IFERROR(C27/Markups!X33,"")</f>
        <v/>
      </c>
    </row>
    <row r="28">
      <c r="A28" s="10">
        <f>Markups!A15</f>
        <v/>
      </c>
      <c r="B28" s="11">
        <f>Markups!C15</f>
        <v/>
      </c>
      <c r="C28" s="12">
        <f>Markups!X15</f>
        <v/>
      </c>
      <c r="D28" s="13">
        <f>IFERROR(C28/Markups!X33,"")</f>
        <v/>
      </c>
    </row>
    <row r="29">
      <c r="A29" s="10">
        <f>Markups!A16</f>
        <v/>
      </c>
      <c r="B29" s="11">
        <f>Markups!C16</f>
        <v/>
      </c>
      <c r="C29" s="12">
        <f>Markups!X16</f>
        <v/>
      </c>
      <c r="D29" s="13">
        <f>IFERROR(C29/Markups!X33,"")</f>
        <v/>
      </c>
    </row>
    <row r="30">
      <c r="A30" s="10">
        <f>Markups!A17</f>
        <v/>
      </c>
      <c r="B30" s="11">
        <f>Markups!C17</f>
        <v/>
      </c>
      <c r="C30" s="12">
        <f>Markups!X17</f>
        <v/>
      </c>
      <c r="D30" s="13">
        <f>IFERROR(C30/Markups!X33,"")</f>
        <v/>
      </c>
    </row>
    <row r="31">
      <c r="A31" s="10">
        <f>Markups!A18</f>
        <v/>
      </c>
      <c r="B31" s="11">
        <f>Markups!C18</f>
        <v/>
      </c>
      <c r="C31" s="12">
        <f>Markups!X18</f>
        <v/>
      </c>
      <c r="D31" s="13">
        <f>IFERROR(C31/Markups!X33,"")</f>
        <v/>
      </c>
    </row>
    <row r="32">
      <c r="A32" s="10">
        <f>Markups!A19</f>
        <v/>
      </c>
      <c r="B32" s="11">
        <f>Markups!C19</f>
        <v/>
      </c>
      <c r="C32" s="12">
        <f>Markups!X19</f>
        <v/>
      </c>
      <c r="D32" s="13">
        <f>IFERROR(C32/Markups!X33,"")</f>
        <v/>
      </c>
    </row>
    <row r="33">
      <c r="A33" s="10">
        <f>Markups!A20</f>
        <v/>
      </c>
      <c r="B33" s="11">
        <f>Markups!C20</f>
        <v/>
      </c>
      <c r="C33" s="12">
        <f>Markups!X20</f>
        <v/>
      </c>
      <c r="D33" s="13">
        <f>IFERROR(C33/Markups!X33,"")</f>
        <v/>
      </c>
    </row>
    <row r="34">
      <c r="A34" s="10">
        <f>Markups!A21</f>
        <v/>
      </c>
      <c r="B34" s="11">
        <f>Markups!C21</f>
        <v/>
      </c>
      <c r="C34" s="12">
        <f>Markups!X21</f>
        <v/>
      </c>
      <c r="D34" s="13">
        <f>IFERROR(C34/Markups!X33,"")</f>
        <v/>
      </c>
    </row>
    <row r="35">
      <c r="A35" s="10">
        <f>Markups!A22</f>
        <v/>
      </c>
      <c r="B35" s="11">
        <f>Markups!C22</f>
        <v/>
      </c>
      <c r="C35" s="12">
        <f>Markups!X22</f>
        <v/>
      </c>
      <c r="D35" s="13">
        <f>IFERROR(C35/Markups!X33,"")</f>
        <v/>
      </c>
    </row>
    <row r="36">
      <c r="A36" s="10">
        <f>Markups!A23</f>
        <v/>
      </c>
      <c r="B36" s="11">
        <f>Markups!C23</f>
        <v/>
      </c>
      <c r="C36" s="12">
        <f>Markups!X23</f>
        <v/>
      </c>
      <c r="D36" s="13">
        <f>IFERROR(C36/Markups!X33,"")</f>
        <v/>
      </c>
    </row>
    <row r="37">
      <c r="A37" s="10">
        <f>Markups!A24</f>
        <v/>
      </c>
      <c r="B37" s="11">
        <f>Markups!C24</f>
        <v/>
      </c>
      <c r="C37" s="12">
        <f>Markups!X24</f>
        <v/>
      </c>
      <c r="D37" s="13">
        <f>IFERROR(C37/Markups!X33,"")</f>
        <v/>
      </c>
    </row>
    <row r="38">
      <c r="A38" s="10">
        <f>Markups!A25</f>
        <v/>
      </c>
      <c r="B38" s="11">
        <f>Markups!C25</f>
        <v/>
      </c>
      <c r="C38" s="12">
        <f>Markups!X25</f>
        <v/>
      </c>
      <c r="D38" s="13">
        <f>IFERROR(C38/Markups!X33,"")</f>
        <v/>
      </c>
    </row>
    <row r="39">
      <c r="A39" s="10">
        <f>Markups!A26</f>
        <v/>
      </c>
      <c r="B39" s="11">
        <f>Markups!C26</f>
        <v/>
      </c>
      <c r="C39" s="12">
        <f>Markups!X26</f>
        <v/>
      </c>
      <c r="D39" s="13">
        <f>IFERROR(C39/Markups!X33,"")</f>
        <v/>
      </c>
    </row>
    <row r="40">
      <c r="A40" s="10">
        <f>Markups!A27</f>
        <v/>
      </c>
      <c r="B40" s="11">
        <f>Markups!C27</f>
        <v/>
      </c>
      <c r="C40" s="12">
        <f>Markups!X27</f>
        <v/>
      </c>
      <c r="D40" s="13">
        <f>IFERROR(C40/Markups!X33,"")</f>
        <v/>
      </c>
    </row>
    <row r="41">
      <c r="A41" s="10">
        <f>Markups!A28</f>
        <v/>
      </c>
      <c r="B41" s="11">
        <f>Markups!C28</f>
        <v/>
      </c>
      <c r="C41" s="12">
        <f>Markups!X28</f>
        <v/>
      </c>
      <c r="D41" s="13">
        <f>IFERROR(C41/Markups!X33,"")</f>
        <v/>
      </c>
    </row>
    <row r="42">
      <c r="A42" s="10">
        <f>Markups!A29</f>
        <v/>
      </c>
      <c r="B42" s="11">
        <f>Markups!C29</f>
        <v/>
      </c>
      <c r="C42" s="12">
        <f>Markups!X29</f>
        <v/>
      </c>
      <c r="D42" s="13">
        <f>IFERROR(C42/Markups!X33,"")</f>
        <v/>
      </c>
    </row>
    <row r="43">
      <c r="A43" s="10">
        <f>Markups!A30</f>
        <v/>
      </c>
      <c r="B43" s="11">
        <f>Markups!C30</f>
        <v/>
      </c>
      <c r="C43" s="12">
        <f>Markups!X30</f>
        <v/>
      </c>
      <c r="D43" s="13">
        <f>IFERROR(C43/Markups!X33,"")</f>
        <v/>
      </c>
    </row>
    <row r="44">
      <c r="A44" s="10">
        <f>Markups!A31</f>
        <v/>
      </c>
      <c r="B44" s="11">
        <f>Markups!C31</f>
        <v/>
      </c>
      <c r="C44" s="12">
        <f>Markups!X31</f>
        <v/>
      </c>
      <c r="D44" s="13">
        <f>IFERROR(C44/Markups!X33,"")</f>
        <v/>
      </c>
    </row>
    <row r="45">
      <c r="A45" s="10">
        <f>Markups!A32</f>
        <v/>
      </c>
      <c r="B45" s="11">
        <f>Markups!C32</f>
        <v/>
      </c>
      <c r="C45" s="12">
        <f>Markups!X32</f>
        <v/>
      </c>
      <c r="D45" s="13">
        <f>IFERROR(C45/Markups!X33,"")</f>
        <v/>
      </c>
    </row>
    <row r="47" ht="18" customHeight="1">
      <c r="A47" s="5" t="inlineStr">
        <is>
          <t>DEFAULT MARKUP RATES</t>
        </is>
      </c>
    </row>
    <row r="48">
      <c r="A48" s="2" t="inlineStr">
        <is>
          <t>Tax Rate</t>
        </is>
      </c>
      <c r="C48" s="14">
        <f>Markups!$G$4</f>
        <v/>
      </c>
    </row>
    <row r="49">
      <c r="A49" s="2" t="inlineStr">
        <is>
          <t>Contingency Rate</t>
        </is>
      </c>
      <c r="C49" s="14">
        <f>Markups!$G$5</f>
        <v/>
      </c>
    </row>
    <row r="50">
      <c r="A50" s="2" t="inlineStr">
        <is>
          <t>Escalation Rate</t>
        </is>
      </c>
      <c r="C50" s="14">
        <f>Markups!$G$6</f>
        <v/>
      </c>
    </row>
    <row r="51">
      <c r="A51" s="2" t="inlineStr">
        <is>
          <t>Overhead Rate</t>
        </is>
      </c>
      <c r="C51" s="14">
        <f>Markups!$G$7</f>
        <v/>
      </c>
    </row>
    <row r="52">
      <c r="A52" s="2" t="inlineStr">
        <is>
          <t>Fee Rate (margin)</t>
        </is>
      </c>
      <c r="C52" s="14">
        <f>Markups!$G$8</f>
        <v/>
      </c>
    </row>
    <row r="53">
      <c r="A53" s="2" t="inlineStr">
        <is>
          <t>Bond / Insurance Rate</t>
        </is>
      </c>
      <c r="C53" s="14">
        <f>Markups!$G$9</f>
        <v/>
      </c>
    </row>
    <row r="55" ht="18" customHeight="1">
      <c r="A55" s="5" t="inlineStr">
        <is>
          <t>BREAKOUT SUMMARY</t>
        </is>
      </c>
    </row>
    <row r="56">
      <c r="A56" s="9" t="inlineStr">
        <is>
          <t>Group</t>
        </is>
      </c>
      <c r="B56" s="9" t="inlineStr">
        <is>
          <t>Label</t>
        </is>
      </c>
      <c r="C56" s="9" t="inlineStr">
        <is>
          <t>Total</t>
        </is>
      </c>
      <c r="D56" s="9" t="inlineStr"/>
    </row>
    <row r="57">
      <c r="A57" s="10">
        <f>Breakout!A18</f>
        <v/>
      </c>
      <c r="B57" s="10">
        <f>Breakout!B18</f>
        <v/>
      </c>
      <c r="C57" s="12">
        <f>Breakout!U18</f>
        <v/>
      </c>
    </row>
    <row r="58">
      <c r="A58" s="10">
        <f>Breakout!A19</f>
        <v/>
      </c>
      <c r="B58" s="10">
        <f>Breakout!B19</f>
        <v/>
      </c>
      <c r="C58" s="12">
        <f>Breakout!U19</f>
        <v/>
      </c>
    </row>
    <row r="59">
      <c r="A59" s="10">
        <f>Breakout!A20</f>
        <v/>
      </c>
      <c r="B59" s="10">
        <f>Breakout!B20</f>
        <v/>
      </c>
      <c r="C59" s="12">
        <f>Breakout!U20</f>
        <v/>
      </c>
    </row>
    <row r="60">
      <c r="A60" s="10">
        <f>Breakout!A21</f>
        <v/>
      </c>
      <c r="B60" s="10">
        <f>Breakout!B21</f>
        <v/>
      </c>
      <c r="C60" s="12">
        <f>Breakout!U21</f>
        <v/>
      </c>
    </row>
    <row r="61">
      <c r="A61" s="10">
        <f>Breakout!A22</f>
        <v/>
      </c>
      <c r="B61" s="10">
        <f>Breakout!B22</f>
        <v/>
      </c>
      <c r="C61" s="12">
        <f>Breakout!U22</f>
        <v/>
      </c>
    </row>
    <row r="62">
      <c r="A62" s="10">
        <f>Breakout!A23</f>
        <v/>
      </c>
      <c r="B62" s="10">
        <f>Breakout!B23</f>
        <v/>
      </c>
      <c r="C62" s="12">
        <f>Breakout!U23</f>
        <v/>
      </c>
    </row>
    <row r="63">
      <c r="A63" s="10">
        <f>Breakout!A24</f>
        <v/>
      </c>
      <c r="B63" s="10">
        <f>Breakout!B24</f>
        <v/>
      </c>
      <c r="C63" s="12">
        <f>Breakout!U24</f>
        <v/>
      </c>
    </row>
    <row r="64">
      <c r="A64" s="10">
        <f>Breakout!A25</f>
        <v/>
      </c>
      <c r="B64" s="10">
        <f>Breakout!B25</f>
        <v/>
      </c>
      <c r="C64" s="12">
        <f>Breakout!U25</f>
        <v/>
      </c>
    </row>
    <row r="65">
      <c r="A65" s="10">
        <f>Breakout!A26</f>
        <v/>
      </c>
      <c r="B65" s="10">
        <f>Breakout!B26</f>
        <v/>
      </c>
      <c r="C65" s="12">
        <f>Breakout!U26</f>
        <v/>
      </c>
    </row>
    <row r="66">
      <c r="A66" s="10">
        <f>Breakout!A27</f>
        <v/>
      </c>
      <c r="B66" s="10">
        <f>Breakout!B27</f>
        <v/>
      </c>
      <c r="C66" s="12">
        <f>Breakout!U27</f>
        <v/>
      </c>
    </row>
    <row r="68" ht="18" customHeight="1">
      <c r="A68" s="5" t="inlineStr">
        <is>
          <t>DATA QUALITY / RECONCILIATION CHECKS</t>
        </is>
      </c>
    </row>
    <row r="69">
      <c r="A69" s="2" t="inlineStr">
        <is>
          <t>Breakout reconciliation:</t>
        </is>
      </c>
      <c r="C69" s="3">
        <f>Breakout!H29</f>
        <v/>
      </c>
    </row>
    <row r="70">
      <c r="A70" s="2" t="inlineStr">
        <is>
          <t>Lines missing a Scope (qty entered, no scope picked):</t>
        </is>
      </c>
      <c r="C70" s="15">
        <f>SUMPRODUCT((Lines!$I$4:$I$303&lt;&gt;0)*(Lines!$A$4:$A$303=""))</f>
        <v/>
      </c>
    </row>
  </sheetData>
  <mergeCells count="45">
    <mergeCell ref="A48:B48"/>
    <mergeCell ref="A15:B15"/>
    <mergeCell ref="C15:D15"/>
    <mergeCell ref="A11:B11"/>
    <mergeCell ref="A49:B49"/>
    <mergeCell ref="A51:B51"/>
    <mergeCell ref="C14:D14"/>
    <mergeCell ref="A70:B70"/>
    <mergeCell ref="A68:D68"/>
    <mergeCell ref="A69:B69"/>
    <mergeCell ref="C20:D20"/>
    <mergeCell ref="A9:D9"/>
    <mergeCell ref="A16:B16"/>
    <mergeCell ref="C10:D10"/>
    <mergeCell ref="C16:D16"/>
    <mergeCell ref="C22:D22"/>
    <mergeCell ref="A24:D24"/>
    <mergeCell ref="A18:B18"/>
    <mergeCell ref="B6:D6"/>
    <mergeCell ref="A12:B12"/>
    <mergeCell ref="A50:B50"/>
    <mergeCell ref="A1:D1"/>
    <mergeCell ref="C12:D12"/>
    <mergeCell ref="B5:D5"/>
    <mergeCell ref="C11:D11"/>
    <mergeCell ref="B4:D4"/>
    <mergeCell ref="A14:B14"/>
    <mergeCell ref="A17:B17"/>
    <mergeCell ref="C70:D70"/>
    <mergeCell ref="B7:D7"/>
    <mergeCell ref="C17:D17"/>
    <mergeCell ref="A22:B22"/>
    <mergeCell ref="A53:B53"/>
    <mergeCell ref="A20:B20"/>
    <mergeCell ref="B3:D3"/>
    <mergeCell ref="A52:B52"/>
    <mergeCell ref="A19:B19"/>
    <mergeCell ref="A10:B10"/>
    <mergeCell ref="C19:D19"/>
    <mergeCell ref="A55:D55"/>
    <mergeCell ref="A13:B13"/>
    <mergeCell ref="C13:D13"/>
    <mergeCell ref="C18:D18"/>
    <mergeCell ref="A47:D47"/>
    <mergeCell ref="C69:D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30" customWidth="1" min="4" max="4"/>
  </cols>
  <sheetData>
    <row r="1" ht="22" customHeight="1">
      <c r="A1" s="1" t="inlineStr">
        <is>
          <t>PROJECT INFORMATION</t>
        </is>
      </c>
    </row>
    <row r="3">
      <c r="A3" s="2" t="inlineStr">
        <is>
          <t>Estimate Number</t>
        </is>
      </c>
      <c r="B3" s="16" t="n"/>
    </row>
    <row r="4">
      <c r="A4" s="2" t="inlineStr">
        <is>
          <t>Project Name</t>
        </is>
      </c>
      <c r="B4" s="16" t="n"/>
    </row>
    <row r="5">
      <c r="A5" s="2" t="inlineStr">
        <is>
          <t>GC / Client</t>
        </is>
      </c>
      <c r="B5" s="16" t="n"/>
    </row>
    <row r="6">
      <c r="A6" s="2" t="inlineStr">
        <is>
          <t>NBS Estimator</t>
        </is>
      </c>
      <c r="B6" s="16" t="n"/>
    </row>
    <row r="7">
      <c r="A7" s="2" t="inlineStr">
        <is>
          <t>Primary Market</t>
        </is>
      </c>
      <c r="B7" s="16" t="n"/>
    </row>
    <row r="8">
      <c r="A8" s="2" t="inlineStr">
        <is>
          <t>Owner</t>
        </is>
      </c>
      <c r="B8" s="16" t="n"/>
    </row>
    <row r="9">
      <c r="A9" s="2" t="inlineStr">
        <is>
          <t>Region</t>
        </is>
      </c>
      <c r="B9" s="16" t="n"/>
    </row>
    <row r="10">
      <c r="A10" s="2" t="inlineStr">
        <is>
          <t>Estimate Status</t>
        </is>
      </c>
      <c r="B10" s="16" t="n"/>
    </row>
    <row r="11">
      <c r="A11" s="2" t="inlineStr">
        <is>
          <t>Due Date</t>
        </is>
      </c>
      <c r="B11" s="17" t="n"/>
    </row>
    <row r="12">
      <c r="A12" s="2" t="inlineStr">
        <is>
          <t>Anticipated Start</t>
        </is>
      </c>
      <c r="B12" s="17" t="n"/>
    </row>
    <row r="13">
      <c r="A13" s="2" t="inlineStr">
        <is>
          <t>Anticipated Finish</t>
        </is>
      </c>
      <c r="B13" s="17" t="n"/>
    </row>
    <row r="14">
      <c r="A14" s="2" t="inlineStr">
        <is>
          <t>Project Address</t>
        </is>
      </c>
      <c r="B14" s="16" t="n"/>
    </row>
    <row r="15">
      <c r="A15" s="2" t="inlineStr">
        <is>
          <t>Square Feet</t>
        </is>
      </c>
      <c r="B15" s="18" t="n"/>
    </row>
    <row r="16">
      <c r="A16" s="19" t="inlineStr">
        <is>
          <t>Notes</t>
        </is>
      </c>
      <c r="B16" s="20" t="n"/>
    </row>
    <row r="17"/>
    <row r="18"/>
    <row r="19"/>
    <row r="21" ht="18" customHeight="1">
      <c r="A21" s="5" t="inlineStr">
        <is>
          <t>ACTIVE SCOPES  (Include = Yes to bid / calculate this scope everywhere else in the workbook)</t>
        </is>
      </c>
    </row>
    <row r="22">
      <c r="A22" s="9" t="inlineStr">
        <is>
          <t>Include?</t>
        </is>
      </c>
      <c r="B22" s="9" t="inlineStr">
        <is>
          <t>Scope</t>
        </is>
      </c>
      <c r="C22" s="9" t="inlineStr">
        <is>
          <t>CSI Code</t>
        </is>
      </c>
      <c r="D22" s="9" t="inlineStr">
        <is>
          <t>Notes</t>
        </is>
      </c>
    </row>
    <row r="23">
      <c r="A23" s="21" t="inlineStr">
        <is>
          <t>Yes</t>
        </is>
      </c>
      <c r="B23" s="22">
        <f>Lists!B2</f>
        <v/>
      </c>
      <c r="C23" s="23">
        <f>Lists!C2</f>
        <v/>
      </c>
      <c r="D23" s="16" t="n"/>
    </row>
    <row r="24">
      <c r="A24" s="21" t="inlineStr">
        <is>
          <t>Yes</t>
        </is>
      </c>
      <c r="B24" s="22">
        <f>Lists!B3</f>
        <v/>
      </c>
      <c r="C24" s="23">
        <f>Lists!C3</f>
        <v/>
      </c>
      <c r="D24" s="16" t="n"/>
    </row>
    <row r="25">
      <c r="A25" s="21" t="inlineStr">
        <is>
          <t>Yes</t>
        </is>
      </c>
      <c r="B25" s="22">
        <f>Lists!B4</f>
        <v/>
      </c>
      <c r="C25" s="23">
        <f>Lists!C4</f>
        <v/>
      </c>
      <c r="D25" s="16" t="n"/>
    </row>
    <row r="26">
      <c r="A26" s="21" t="inlineStr">
        <is>
          <t>Yes</t>
        </is>
      </c>
      <c r="B26" s="22">
        <f>Lists!B5</f>
        <v/>
      </c>
      <c r="C26" s="23">
        <f>Lists!C5</f>
        <v/>
      </c>
      <c r="D26" s="16" t="n"/>
    </row>
    <row r="27">
      <c r="A27" s="21" t="inlineStr">
        <is>
          <t>Yes</t>
        </is>
      </c>
      <c r="B27" s="22">
        <f>Lists!B6</f>
        <v/>
      </c>
      <c r="C27" s="23">
        <f>Lists!C6</f>
        <v/>
      </c>
      <c r="D27" s="16" t="n"/>
    </row>
    <row r="28">
      <c r="A28" s="21" t="inlineStr">
        <is>
          <t>Yes</t>
        </is>
      </c>
      <c r="B28" s="22">
        <f>Lists!B7</f>
        <v/>
      </c>
      <c r="C28" s="23">
        <f>Lists!C7</f>
        <v/>
      </c>
      <c r="D28" s="16" t="n"/>
    </row>
    <row r="29">
      <c r="A29" s="21" t="inlineStr">
        <is>
          <t>Yes</t>
        </is>
      </c>
      <c r="B29" s="22">
        <f>Lists!B8</f>
        <v/>
      </c>
      <c r="C29" s="23">
        <f>Lists!C8</f>
        <v/>
      </c>
      <c r="D29" s="16" t="n"/>
    </row>
    <row r="30">
      <c r="A30" s="21" t="inlineStr">
        <is>
          <t>Yes</t>
        </is>
      </c>
      <c r="B30" s="22">
        <f>Lists!B9</f>
        <v/>
      </c>
      <c r="C30" s="23">
        <f>Lists!C9</f>
        <v/>
      </c>
      <c r="D30" s="16" t="n"/>
    </row>
    <row r="31">
      <c r="A31" s="21" t="inlineStr">
        <is>
          <t>Yes</t>
        </is>
      </c>
      <c r="B31" s="22">
        <f>Lists!B10</f>
        <v/>
      </c>
      <c r="C31" s="23">
        <f>Lists!C10</f>
        <v/>
      </c>
      <c r="D31" s="16" t="n"/>
    </row>
    <row r="32">
      <c r="A32" s="21" t="inlineStr">
        <is>
          <t>Yes</t>
        </is>
      </c>
      <c r="B32" s="22">
        <f>Lists!B11</f>
        <v/>
      </c>
      <c r="C32" s="23">
        <f>Lists!C11</f>
        <v/>
      </c>
      <c r="D32" s="16" t="n"/>
    </row>
    <row r="33">
      <c r="A33" s="21" t="inlineStr">
        <is>
          <t>Yes</t>
        </is>
      </c>
      <c r="B33" s="22">
        <f>Lists!B12</f>
        <v/>
      </c>
      <c r="C33" s="23">
        <f>Lists!C12</f>
        <v/>
      </c>
      <c r="D33" s="16" t="n"/>
    </row>
    <row r="34">
      <c r="A34" s="21" t="inlineStr">
        <is>
          <t>Yes</t>
        </is>
      </c>
      <c r="B34" s="22">
        <f>Lists!B13</f>
        <v/>
      </c>
      <c r="C34" s="23">
        <f>Lists!C13</f>
        <v/>
      </c>
      <c r="D34" s="16" t="n"/>
    </row>
    <row r="35">
      <c r="A35" s="21" t="inlineStr">
        <is>
          <t>Yes</t>
        </is>
      </c>
      <c r="B35" s="22">
        <f>Lists!B14</f>
        <v/>
      </c>
      <c r="C35" s="23">
        <f>Lists!C14</f>
        <v/>
      </c>
      <c r="D35" s="16" t="n"/>
    </row>
    <row r="36">
      <c r="A36" s="21" t="inlineStr">
        <is>
          <t>Yes</t>
        </is>
      </c>
      <c r="B36" s="22">
        <f>Lists!B15</f>
        <v/>
      </c>
      <c r="C36" s="23">
        <f>Lists!C15</f>
        <v/>
      </c>
      <c r="D36" s="16" t="n"/>
    </row>
    <row r="37">
      <c r="A37" s="21" t="inlineStr">
        <is>
          <t>Yes</t>
        </is>
      </c>
      <c r="B37" s="22">
        <f>Lists!B16</f>
        <v/>
      </c>
      <c r="C37" s="23">
        <f>Lists!C16</f>
        <v/>
      </c>
      <c r="D37" s="16" t="n"/>
    </row>
    <row r="38">
      <c r="A38" s="21" t="inlineStr">
        <is>
          <t>Yes</t>
        </is>
      </c>
      <c r="B38" s="22">
        <f>Lists!B17</f>
        <v/>
      </c>
      <c r="C38" s="23">
        <f>Lists!C17</f>
        <v/>
      </c>
      <c r="D38" s="16" t="n"/>
    </row>
    <row r="39">
      <c r="A39" s="21" t="inlineStr">
        <is>
          <t>Yes</t>
        </is>
      </c>
      <c r="B39" s="22">
        <f>Lists!B18</f>
        <v/>
      </c>
      <c r="C39" s="23">
        <f>Lists!C18</f>
        <v/>
      </c>
      <c r="D39" s="16" t="n"/>
    </row>
    <row r="40">
      <c r="A40" s="21" t="inlineStr">
        <is>
          <t>Yes</t>
        </is>
      </c>
      <c r="B40" s="22">
        <f>Lists!B19</f>
        <v/>
      </c>
      <c r="C40" s="23">
        <f>Lists!C19</f>
        <v/>
      </c>
      <c r="D40" s="16" t="n"/>
    </row>
    <row r="41">
      <c r="A41" s="21" t="inlineStr">
        <is>
          <t>Yes</t>
        </is>
      </c>
      <c r="B41" s="22">
        <f>Lists!B20</f>
        <v/>
      </c>
      <c r="C41" s="23">
        <f>Lists!C20</f>
        <v/>
      </c>
      <c r="D41" s="16" t="n"/>
    </row>
    <row r="42">
      <c r="A42" s="21" t="inlineStr">
        <is>
          <t>Yes</t>
        </is>
      </c>
      <c r="B42" s="22">
        <f>Lists!B21</f>
        <v/>
      </c>
      <c r="C42" s="23">
        <f>Lists!C21</f>
        <v/>
      </c>
      <c r="D42" s="16" t="n"/>
    </row>
    <row r="44">
      <c r="A44" s="24" t="inlineStr">
        <is>
          <t>Scope list and CSI codes are pulled from the hidden Lists sheet (single source of truth). Set Include=No to drop a scope from every calculation without deleting its line items.</t>
        </is>
      </c>
    </row>
  </sheetData>
  <mergeCells count="17">
    <mergeCell ref="B10:D10"/>
    <mergeCell ref="A1:D1"/>
    <mergeCell ref="B11:D11"/>
    <mergeCell ref="B3:D3"/>
    <mergeCell ref="B5:D5"/>
    <mergeCell ref="B14:D14"/>
    <mergeCell ref="B15:D15"/>
    <mergeCell ref="B16:D19"/>
    <mergeCell ref="B8:D8"/>
    <mergeCell ref="B4:D4"/>
    <mergeCell ref="A21:D21"/>
    <mergeCell ref="B9:D9"/>
    <mergeCell ref="B13:D13"/>
    <mergeCell ref="B12:D12"/>
    <mergeCell ref="B7:D7"/>
    <mergeCell ref="B6:D6"/>
    <mergeCell ref="A44:D44"/>
  </mergeCells>
  <dataValidations count="2">
    <dataValidation sqref="B10" showDropDown="0" showInputMessage="0" showErrorMessage="0" allowBlank="1" type="list">
      <formula1>=Lists!$H$2:$H$7</formula1>
    </dataValidation>
    <dataValidation sqref="A23 A24 A25 A26 A27 A28 A29 A30 A31 A32 A33 A34 A35 A36 A37 A38 A39 A40 A41 A42" showDropDown="0" showInputMessage="0" showErrorMessage="0" allowBlank="1" type="list">
      <formula1>=Lists!$G$2:$G$3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03"/>
  <sheetViews>
    <sheetView showGridLines="0" zoomScale="10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6" customWidth="1" min="4" max="4"/>
    <col width="14" customWidth="1" min="5" max="5"/>
    <col width="28" customWidth="1" min="6" max="6"/>
    <col width="14" customWidth="1" min="7" max="7"/>
    <col width="16" customWidth="1" min="8" max="8"/>
    <col width="8" customWidth="1" min="9" max="9"/>
    <col width="7" customWidth="1" min="10" max="10"/>
    <col width="14" customWidth="1" min="11" max="11"/>
    <col width="13" customWidth="1" min="12" max="12"/>
    <col width="12" customWidth="1" min="13" max="13"/>
    <col width="14" customWidth="1" min="14" max="14"/>
    <col width="13" customWidth="1" min="15" max="15"/>
    <col width="12" customWidth="1" min="16" max="16"/>
    <col width="10" customWidth="1" min="17" max="17"/>
    <col width="16" customWidth="1" min="18" max="18"/>
    <col width="10" customWidth="1" min="19" max="19"/>
    <col width="10" customWidth="1" min="20" max="20"/>
    <col width="22" customWidth="1" min="21" max="21"/>
  </cols>
  <sheetData>
    <row r="1" ht="22" customHeight="1">
      <c r="A1" s="1" t="inlineStr">
        <is>
          <t>LINE ITEMS — ALL SCOPES CONSOLIDATED (one flat table; pick a Scope per row, add rows anywhere)</t>
        </is>
      </c>
    </row>
    <row r="2">
      <c r="A2" s="24" t="inlineStr">
        <is>
          <t>Blue = your input   |   Black = auto-calculated formula   |   Grey header = informational, safe to delete   |   White header = required for calculations — do not delete (Scope, Qty, Unit Material Cost, Freight, Labor/Install, Line Total, Breakout Group)</t>
        </is>
      </c>
    </row>
    <row r="3">
      <c r="A3" s="25" t="inlineStr">
        <is>
          <t>Scope</t>
        </is>
      </c>
      <c r="B3" s="25" t="inlineStr">
        <is>
          <t>CSI Code</t>
        </is>
      </c>
      <c r="C3" s="26" t="inlineStr">
        <is>
          <t>Spec No.</t>
        </is>
      </c>
      <c r="D3" s="26" t="inlineStr">
        <is>
          <t>Spec Title</t>
        </is>
      </c>
      <c r="E3" s="26" t="inlineStr">
        <is>
          <t>Plan Callout</t>
        </is>
      </c>
      <c r="F3" s="26" t="inlineStr">
        <is>
          <t>Description</t>
        </is>
      </c>
      <c r="G3" s="26" t="inlineStr">
        <is>
          <t>Model No.</t>
        </is>
      </c>
      <c r="H3" s="26" t="inlineStr">
        <is>
          <t>Manufacturer</t>
        </is>
      </c>
      <c r="I3" s="25" t="inlineStr">
        <is>
          <t>Qty</t>
        </is>
      </c>
      <c r="J3" s="26" t="inlineStr">
        <is>
          <t>UOM</t>
        </is>
      </c>
      <c r="K3" s="25" t="inlineStr">
        <is>
          <t>Unit Material Cost</t>
        </is>
      </c>
      <c r="L3" s="25" t="inlineStr">
        <is>
          <t>Ext Material</t>
        </is>
      </c>
      <c r="M3" s="25" t="inlineStr">
        <is>
          <t>Freight (Ext $)</t>
        </is>
      </c>
      <c r="N3" s="25" t="inlineStr">
        <is>
          <t>Labor/Install (Ext $)</t>
        </is>
      </c>
      <c r="O3" s="25" t="inlineStr">
        <is>
          <t>Line Total</t>
        </is>
      </c>
      <c r="P3" s="25" t="inlineStr">
        <is>
          <t>Breakout Group</t>
        </is>
      </c>
      <c r="Q3" s="26" t="inlineStr">
        <is>
          <t>Esc Override % (reference only)</t>
        </is>
      </c>
      <c r="R3" s="26" t="inlineStr">
        <is>
          <t>Quote Vendor</t>
        </is>
      </c>
      <c r="S3" s="26" t="inlineStr">
        <is>
          <t>Source</t>
        </is>
      </c>
      <c r="T3" s="26" t="inlineStr">
        <is>
          <t>Has Backup</t>
        </is>
      </c>
      <c r="U3" s="26" t="inlineStr">
        <is>
          <t>Notes / Remarks</t>
        </is>
      </c>
    </row>
    <row r="4">
      <c r="A4" s="27" t="n"/>
      <c r="B4" s="15">
        <f>IFERROR(INDEX(Lists!$C$2:$C$21,MATCH(A4,Lists!$B$2:$B$21,0)),"")</f>
        <v/>
      </c>
      <c r="C4" s="27" t="n"/>
      <c r="D4" s="27" t="n"/>
      <c r="E4" s="27" t="n"/>
      <c r="F4" s="27" t="n"/>
      <c r="G4" s="27" t="n"/>
      <c r="H4" s="27" t="n"/>
      <c r="I4" s="28" t="n"/>
      <c r="J4" s="29" t="n"/>
      <c r="K4" s="30" t="n"/>
      <c r="L4" s="31">
        <f>I4*K4</f>
        <v/>
      </c>
      <c r="M4" s="30" t="n"/>
      <c r="N4" s="30" t="n"/>
      <c r="O4" s="31">
        <f>L4+M4+N4</f>
        <v/>
      </c>
      <c r="P4" s="29" t="n"/>
      <c r="Q4" s="32" t="n"/>
      <c r="R4" s="27" t="n"/>
      <c r="S4" s="27" t="n"/>
      <c r="T4" s="27" t="n"/>
      <c r="U4" s="27" t="n"/>
    </row>
    <row r="5">
      <c r="A5" s="27" t="n"/>
      <c r="B5" s="15">
        <f>IFERROR(INDEX(Lists!$C$2:$C$21,MATCH(A5,Lists!$B$2:$B$21,0)),"")</f>
        <v/>
      </c>
      <c r="C5" s="27" t="n"/>
      <c r="D5" s="27" t="n"/>
      <c r="E5" s="27" t="n"/>
      <c r="F5" s="27" t="n"/>
      <c r="G5" s="27" t="n"/>
      <c r="H5" s="27" t="n"/>
      <c r="I5" s="28" t="n"/>
      <c r="J5" s="29" t="n"/>
      <c r="K5" s="30" t="n"/>
      <c r="L5" s="31">
        <f>I5*K5</f>
        <v/>
      </c>
      <c r="M5" s="30" t="n"/>
      <c r="N5" s="30" t="n"/>
      <c r="O5" s="31">
        <f>L5+M5+N5</f>
        <v/>
      </c>
      <c r="P5" s="29" t="n"/>
      <c r="Q5" s="32" t="n"/>
      <c r="R5" s="27" t="n"/>
      <c r="S5" s="27" t="n"/>
      <c r="T5" s="27" t="n"/>
      <c r="U5" s="27" t="n"/>
    </row>
    <row r="6">
      <c r="A6" s="27" t="n"/>
      <c r="B6" s="15">
        <f>IFERROR(INDEX(Lists!$C$2:$C$21,MATCH(A6,Lists!$B$2:$B$21,0)),"")</f>
        <v/>
      </c>
      <c r="C6" s="27" t="n"/>
      <c r="D6" s="27" t="n"/>
      <c r="E6" s="27" t="n"/>
      <c r="F6" s="27" t="n"/>
      <c r="G6" s="27" t="n"/>
      <c r="H6" s="27" t="n"/>
      <c r="I6" s="28" t="n"/>
      <c r="J6" s="29" t="n"/>
      <c r="K6" s="30" t="n"/>
      <c r="L6" s="31">
        <f>I6*K6</f>
        <v/>
      </c>
      <c r="M6" s="30" t="n"/>
      <c r="N6" s="30" t="n"/>
      <c r="O6" s="31">
        <f>L6+M6+N6</f>
        <v/>
      </c>
      <c r="P6" s="29" t="n"/>
      <c r="Q6" s="32" t="n"/>
      <c r="R6" s="27" t="n"/>
      <c r="S6" s="27" t="n"/>
      <c r="T6" s="27" t="n"/>
      <c r="U6" s="27" t="n"/>
    </row>
    <row r="7">
      <c r="A7" s="27" t="n"/>
      <c r="B7" s="15">
        <f>IFERROR(INDEX(Lists!$C$2:$C$21,MATCH(A7,Lists!$B$2:$B$21,0)),"")</f>
        <v/>
      </c>
      <c r="C7" s="27" t="n"/>
      <c r="D7" s="27" t="n"/>
      <c r="E7" s="27" t="n"/>
      <c r="F7" s="27" t="n"/>
      <c r="G7" s="27" t="n"/>
      <c r="H7" s="27" t="n"/>
      <c r="I7" s="28" t="n"/>
      <c r="J7" s="29" t="n"/>
      <c r="K7" s="30" t="n"/>
      <c r="L7" s="31">
        <f>I7*K7</f>
        <v/>
      </c>
      <c r="M7" s="30" t="n"/>
      <c r="N7" s="30" t="n"/>
      <c r="O7" s="31">
        <f>L7+M7+N7</f>
        <v/>
      </c>
      <c r="P7" s="29" t="n"/>
      <c r="Q7" s="32" t="n"/>
      <c r="R7" s="27" t="n"/>
      <c r="S7" s="27" t="n"/>
      <c r="T7" s="27" t="n"/>
      <c r="U7" s="27" t="n"/>
    </row>
    <row r="8">
      <c r="A8" s="27" t="n"/>
      <c r="B8" s="15">
        <f>IFERROR(INDEX(Lists!$C$2:$C$21,MATCH(A8,Lists!$B$2:$B$21,0)),"")</f>
        <v/>
      </c>
      <c r="C8" s="27" t="n"/>
      <c r="D8" s="27" t="n"/>
      <c r="E8" s="27" t="n"/>
      <c r="F8" s="27" t="n"/>
      <c r="G8" s="27" t="n"/>
      <c r="H8" s="27" t="n"/>
      <c r="I8" s="28" t="n"/>
      <c r="J8" s="29" t="n"/>
      <c r="K8" s="30" t="n"/>
      <c r="L8" s="31">
        <f>I8*K8</f>
        <v/>
      </c>
      <c r="M8" s="30" t="n"/>
      <c r="N8" s="30" t="n"/>
      <c r="O8" s="31">
        <f>L8+M8+N8</f>
        <v/>
      </c>
      <c r="P8" s="29" t="n"/>
      <c r="Q8" s="32" t="n"/>
      <c r="R8" s="27" t="n"/>
      <c r="S8" s="27" t="n"/>
      <c r="T8" s="27" t="n"/>
      <c r="U8" s="27" t="n"/>
    </row>
    <row r="9">
      <c r="A9" s="27" t="n"/>
      <c r="B9" s="15">
        <f>IFERROR(INDEX(Lists!$C$2:$C$21,MATCH(A9,Lists!$B$2:$B$21,0)),"")</f>
        <v/>
      </c>
      <c r="C9" s="27" t="n"/>
      <c r="D9" s="27" t="n"/>
      <c r="E9" s="27" t="n"/>
      <c r="F9" s="27" t="n"/>
      <c r="G9" s="27" t="n"/>
      <c r="H9" s="27" t="n"/>
      <c r="I9" s="28" t="n"/>
      <c r="J9" s="29" t="n"/>
      <c r="K9" s="30" t="n"/>
      <c r="L9" s="31">
        <f>I9*K9</f>
        <v/>
      </c>
      <c r="M9" s="30" t="n"/>
      <c r="N9" s="30" t="n"/>
      <c r="O9" s="31">
        <f>L9+M9+N9</f>
        <v/>
      </c>
      <c r="P9" s="29" t="n"/>
      <c r="Q9" s="32" t="n"/>
      <c r="R9" s="27" t="n"/>
      <c r="S9" s="27" t="n"/>
      <c r="T9" s="27" t="n"/>
      <c r="U9" s="27" t="n"/>
    </row>
    <row r="10">
      <c r="A10" s="27" t="n"/>
      <c r="B10" s="15">
        <f>IFERROR(INDEX(Lists!$C$2:$C$21,MATCH(A10,Lists!$B$2:$B$21,0)),"")</f>
        <v/>
      </c>
      <c r="C10" s="27" t="n"/>
      <c r="D10" s="27" t="n"/>
      <c r="E10" s="27" t="n"/>
      <c r="F10" s="27" t="n"/>
      <c r="G10" s="27" t="n"/>
      <c r="H10" s="27" t="n"/>
      <c r="I10" s="28" t="n"/>
      <c r="J10" s="29" t="n"/>
      <c r="K10" s="30" t="n"/>
      <c r="L10" s="31">
        <f>I10*K10</f>
        <v/>
      </c>
      <c r="M10" s="30" t="n"/>
      <c r="N10" s="30" t="n"/>
      <c r="O10" s="31">
        <f>L10+M10+N10</f>
        <v/>
      </c>
      <c r="P10" s="29" t="n"/>
      <c r="Q10" s="32" t="n"/>
      <c r="R10" s="27" t="n"/>
      <c r="S10" s="27" t="n"/>
      <c r="T10" s="27" t="n"/>
      <c r="U10" s="27" t="n"/>
    </row>
    <row r="11">
      <c r="A11" s="27" t="n"/>
      <c r="B11" s="15">
        <f>IFERROR(INDEX(Lists!$C$2:$C$21,MATCH(A11,Lists!$B$2:$B$21,0)),"")</f>
        <v/>
      </c>
      <c r="C11" s="27" t="n"/>
      <c r="D11" s="27" t="n"/>
      <c r="E11" s="27" t="n"/>
      <c r="F11" s="27" t="n"/>
      <c r="G11" s="27" t="n"/>
      <c r="H11" s="27" t="n"/>
      <c r="I11" s="28" t="n"/>
      <c r="J11" s="29" t="n"/>
      <c r="K11" s="30" t="n"/>
      <c r="L11" s="31">
        <f>I11*K11</f>
        <v/>
      </c>
      <c r="M11" s="30" t="n"/>
      <c r="N11" s="30" t="n"/>
      <c r="O11" s="31">
        <f>L11+M11+N11</f>
        <v/>
      </c>
      <c r="P11" s="29" t="n"/>
      <c r="Q11" s="32" t="n"/>
      <c r="R11" s="27" t="n"/>
      <c r="S11" s="27" t="n"/>
      <c r="T11" s="27" t="n"/>
      <c r="U11" s="27" t="n"/>
    </row>
    <row r="12">
      <c r="A12" s="27" t="n"/>
      <c r="B12" s="15">
        <f>IFERROR(INDEX(Lists!$C$2:$C$21,MATCH(A12,Lists!$B$2:$B$21,0)),"")</f>
        <v/>
      </c>
      <c r="C12" s="27" t="n"/>
      <c r="D12" s="27" t="n"/>
      <c r="E12" s="27" t="n"/>
      <c r="F12" s="27" t="n"/>
      <c r="G12" s="27" t="n"/>
      <c r="H12" s="27" t="n"/>
      <c r="I12" s="28" t="n"/>
      <c r="J12" s="29" t="n"/>
      <c r="K12" s="30" t="n"/>
      <c r="L12" s="31">
        <f>I12*K12</f>
        <v/>
      </c>
      <c r="M12" s="30" t="n"/>
      <c r="N12" s="30" t="n"/>
      <c r="O12" s="31">
        <f>L12+M12+N12</f>
        <v/>
      </c>
      <c r="P12" s="29" t="n"/>
      <c r="Q12" s="32" t="n"/>
      <c r="R12" s="27" t="n"/>
      <c r="S12" s="27" t="n"/>
      <c r="T12" s="27" t="n"/>
      <c r="U12" s="27" t="n"/>
    </row>
    <row r="13">
      <c r="A13" s="27" t="n"/>
      <c r="B13" s="15">
        <f>IFERROR(INDEX(Lists!$C$2:$C$21,MATCH(A13,Lists!$B$2:$B$21,0)),"")</f>
        <v/>
      </c>
      <c r="C13" s="27" t="n"/>
      <c r="D13" s="27" t="n"/>
      <c r="E13" s="27" t="n"/>
      <c r="F13" s="27" t="n"/>
      <c r="G13" s="27" t="n"/>
      <c r="H13" s="27" t="n"/>
      <c r="I13" s="28" t="n"/>
      <c r="J13" s="29" t="n"/>
      <c r="K13" s="30" t="n"/>
      <c r="L13" s="31">
        <f>I13*K13</f>
        <v/>
      </c>
      <c r="M13" s="30" t="n"/>
      <c r="N13" s="30" t="n"/>
      <c r="O13" s="31">
        <f>L13+M13+N13</f>
        <v/>
      </c>
      <c r="P13" s="29" t="n"/>
      <c r="Q13" s="32" t="n"/>
      <c r="R13" s="27" t="n"/>
      <c r="S13" s="27" t="n"/>
      <c r="T13" s="27" t="n"/>
      <c r="U13" s="27" t="n"/>
    </row>
    <row r="14">
      <c r="A14" s="27" t="n"/>
      <c r="B14" s="15">
        <f>IFERROR(INDEX(Lists!$C$2:$C$21,MATCH(A14,Lists!$B$2:$B$21,0)),"")</f>
        <v/>
      </c>
      <c r="C14" s="27" t="n"/>
      <c r="D14" s="27" t="n"/>
      <c r="E14" s="27" t="n"/>
      <c r="F14" s="27" t="n"/>
      <c r="G14" s="27" t="n"/>
      <c r="H14" s="27" t="n"/>
      <c r="I14" s="28" t="n"/>
      <c r="J14" s="29" t="n"/>
      <c r="K14" s="30" t="n"/>
      <c r="L14" s="31">
        <f>I14*K14</f>
        <v/>
      </c>
      <c r="M14" s="30" t="n"/>
      <c r="N14" s="30" t="n"/>
      <c r="O14" s="31">
        <f>L14+M14+N14</f>
        <v/>
      </c>
      <c r="P14" s="29" t="n"/>
      <c r="Q14" s="32" t="n"/>
      <c r="R14" s="27" t="n"/>
      <c r="S14" s="27" t="n"/>
      <c r="T14" s="27" t="n"/>
      <c r="U14" s="27" t="n"/>
    </row>
    <row r="15">
      <c r="A15" s="27" t="n"/>
      <c r="B15" s="15">
        <f>IFERROR(INDEX(Lists!$C$2:$C$21,MATCH(A15,Lists!$B$2:$B$21,0)),"")</f>
        <v/>
      </c>
      <c r="C15" s="27" t="n"/>
      <c r="D15" s="27" t="n"/>
      <c r="E15" s="27" t="n"/>
      <c r="F15" s="27" t="n"/>
      <c r="G15" s="27" t="n"/>
      <c r="H15" s="27" t="n"/>
      <c r="I15" s="28" t="n"/>
      <c r="J15" s="29" t="n"/>
      <c r="K15" s="30" t="n"/>
      <c r="L15" s="31">
        <f>I15*K15</f>
        <v/>
      </c>
      <c r="M15" s="30" t="n"/>
      <c r="N15" s="30" t="n"/>
      <c r="O15" s="31">
        <f>L15+M15+N15</f>
        <v/>
      </c>
      <c r="P15" s="29" t="n"/>
      <c r="Q15" s="32" t="n"/>
      <c r="R15" s="27" t="n"/>
      <c r="S15" s="27" t="n"/>
      <c r="T15" s="27" t="n"/>
      <c r="U15" s="27" t="n"/>
    </row>
    <row r="16">
      <c r="A16" s="27" t="n"/>
      <c r="B16" s="15">
        <f>IFERROR(INDEX(Lists!$C$2:$C$21,MATCH(A16,Lists!$B$2:$B$21,0)),"")</f>
        <v/>
      </c>
      <c r="C16" s="27" t="n"/>
      <c r="D16" s="27" t="n"/>
      <c r="E16" s="27" t="n"/>
      <c r="F16" s="27" t="n"/>
      <c r="G16" s="27" t="n"/>
      <c r="H16" s="27" t="n"/>
      <c r="I16" s="28" t="n"/>
      <c r="J16" s="29" t="n"/>
      <c r="K16" s="30" t="n"/>
      <c r="L16" s="31">
        <f>I16*K16</f>
        <v/>
      </c>
      <c r="M16" s="30" t="n"/>
      <c r="N16" s="30" t="n"/>
      <c r="O16" s="31">
        <f>L16+M16+N16</f>
        <v/>
      </c>
      <c r="P16" s="29" t="n"/>
      <c r="Q16" s="32" t="n"/>
      <c r="R16" s="27" t="n"/>
      <c r="S16" s="27" t="n"/>
      <c r="T16" s="27" t="n"/>
      <c r="U16" s="27" t="n"/>
    </row>
    <row r="17">
      <c r="A17" s="27" t="n"/>
      <c r="B17" s="15">
        <f>IFERROR(INDEX(Lists!$C$2:$C$21,MATCH(A17,Lists!$B$2:$B$21,0)),"")</f>
        <v/>
      </c>
      <c r="C17" s="27" t="n"/>
      <c r="D17" s="27" t="n"/>
      <c r="E17" s="27" t="n"/>
      <c r="F17" s="27" t="n"/>
      <c r="G17" s="27" t="n"/>
      <c r="H17" s="27" t="n"/>
      <c r="I17" s="28" t="n"/>
      <c r="J17" s="29" t="n"/>
      <c r="K17" s="30" t="n"/>
      <c r="L17" s="31">
        <f>I17*K17</f>
        <v/>
      </c>
      <c r="M17" s="30" t="n"/>
      <c r="N17" s="30" t="n"/>
      <c r="O17" s="31">
        <f>L17+M17+N17</f>
        <v/>
      </c>
      <c r="P17" s="29" t="n"/>
      <c r="Q17" s="32" t="n"/>
      <c r="R17" s="27" t="n"/>
      <c r="S17" s="27" t="n"/>
      <c r="T17" s="27" t="n"/>
      <c r="U17" s="27" t="n"/>
    </row>
    <row r="18">
      <c r="A18" s="27" t="n"/>
      <c r="B18" s="15">
        <f>IFERROR(INDEX(Lists!$C$2:$C$21,MATCH(A18,Lists!$B$2:$B$21,0)),"")</f>
        <v/>
      </c>
      <c r="C18" s="27" t="n"/>
      <c r="D18" s="27" t="n"/>
      <c r="E18" s="27" t="n"/>
      <c r="F18" s="27" t="n"/>
      <c r="G18" s="27" t="n"/>
      <c r="H18" s="27" t="n"/>
      <c r="I18" s="28" t="n"/>
      <c r="J18" s="29" t="n"/>
      <c r="K18" s="30" t="n"/>
      <c r="L18" s="31">
        <f>I18*K18</f>
        <v/>
      </c>
      <c r="M18" s="30" t="n"/>
      <c r="N18" s="30" t="n"/>
      <c r="O18" s="31">
        <f>L18+M18+N18</f>
        <v/>
      </c>
      <c r="P18" s="29" t="n"/>
      <c r="Q18" s="32" t="n"/>
      <c r="R18" s="27" t="n"/>
      <c r="S18" s="27" t="n"/>
      <c r="T18" s="27" t="n"/>
      <c r="U18" s="27" t="n"/>
    </row>
    <row r="19">
      <c r="A19" s="27" t="n"/>
      <c r="B19" s="15">
        <f>IFERROR(INDEX(Lists!$C$2:$C$21,MATCH(A19,Lists!$B$2:$B$21,0)),"")</f>
        <v/>
      </c>
      <c r="C19" s="27" t="n"/>
      <c r="D19" s="27" t="n"/>
      <c r="E19" s="27" t="n"/>
      <c r="F19" s="27" t="n"/>
      <c r="G19" s="27" t="n"/>
      <c r="H19" s="27" t="n"/>
      <c r="I19" s="28" t="n"/>
      <c r="J19" s="29" t="n"/>
      <c r="K19" s="30" t="n"/>
      <c r="L19" s="31">
        <f>I19*K19</f>
        <v/>
      </c>
      <c r="M19" s="30" t="n"/>
      <c r="N19" s="30" t="n"/>
      <c r="O19" s="31">
        <f>L19+M19+N19</f>
        <v/>
      </c>
      <c r="P19" s="29" t="n"/>
      <c r="Q19" s="32" t="n"/>
      <c r="R19" s="27" t="n"/>
      <c r="S19" s="27" t="n"/>
      <c r="T19" s="27" t="n"/>
      <c r="U19" s="27" t="n"/>
    </row>
    <row r="20">
      <c r="A20" s="27" t="n"/>
      <c r="B20" s="15">
        <f>IFERROR(INDEX(Lists!$C$2:$C$21,MATCH(A20,Lists!$B$2:$B$21,0)),"")</f>
        <v/>
      </c>
      <c r="C20" s="27" t="n"/>
      <c r="D20" s="27" t="n"/>
      <c r="E20" s="27" t="n"/>
      <c r="F20" s="27" t="n"/>
      <c r="G20" s="27" t="n"/>
      <c r="H20" s="27" t="n"/>
      <c r="I20" s="28" t="n"/>
      <c r="J20" s="29" t="n"/>
      <c r="K20" s="30" t="n"/>
      <c r="L20" s="31">
        <f>I20*K20</f>
        <v/>
      </c>
      <c r="M20" s="30" t="n"/>
      <c r="N20" s="30" t="n"/>
      <c r="O20" s="31">
        <f>L20+M20+N20</f>
        <v/>
      </c>
      <c r="P20" s="29" t="n"/>
      <c r="Q20" s="32" t="n"/>
      <c r="R20" s="27" t="n"/>
      <c r="S20" s="27" t="n"/>
      <c r="T20" s="27" t="n"/>
      <c r="U20" s="27" t="n"/>
    </row>
    <row r="21">
      <c r="A21" s="27" t="n"/>
      <c r="B21" s="15">
        <f>IFERROR(INDEX(Lists!$C$2:$C$21,MATCH(A21,Lists!$B$2:$B$21,0)),"")</f>
        <v/>
      </c>
      <c r="C21" s="27" t="n"/>
      <c r="D21" s="27" t="n"/>
      <c r="E21" s="27" t="n"/>
      <c r="F21" s="27" t="n"/>
      <c r="G21" s="27" t="n"/>
      <c r="H21" s="27" t="n"/>
      <c r="I21" s="28" t="n"/>
      <c r="J21" s="29" t="n"/>
      <c r="K21" s="30" t="n"/>
      <c r="L21" s="31">
        <f>I21*K21</f>
        <v/>
      </c>
      <c r="M21" s="30" t="n"/>
      <c r="N21" s="30" t="n"/>
      <c r="O21" s="31">
        <f>L21+M21+N21</f>
        <v/>
      </c>
      <c r="P21" s="29" t="n"/>
      <c r="Q21" s="32" t="n"/>
      <c r="R21" s="27" t="n"/>
      <c r="S21" s="27" t="n"/>
      <c r="T21" s="27" t="n"/>
      <c r="U21" s="27" t="n"/>
    </row>
    <row r="22">
      <c r="A22" s="27" t="n"/>
      <c r="B22" s="15">
        <f>IFERROR(INDEX(Lists!$C$2:$C$21,MATCH(A22,Lists!$B$2:$B$21,0)),"")</f>
        <v/>
      </c>
      <c r="C22" s="27" t="n"/>
      <c r="D22" s="27" t="n"/>
      <c r="E22" s="27" t="n"/>
      <c r="F22" s="27" t="n"/>
      <c r="G22" s="27" t="n"/>
      <c r="H22" s="27" t="n"/>
      <c r="I22" s="28" t="n"/>
      <c r="J22" s="29" t="n"/>
      <c r="K22" s="30" t="n"/>
      <c r="L22" s="31">
        <f>I22*K22</f>
        <v/>
      </c>
      <c r="M22" s="30" t="n"/>
      <c r="N22" s="30" t="n"/>
      <c r="O22" s="31">
        <f>L22+M22+N22</f>
        <v/>
      </c>
      <c r="P22" s="29" t="n"/>
      <c r="Q22" s="32" t="n"/>
      <c r="R22" s="27" t="n"/>
      <c r="S22" s="27" t="n"/>
      <c r="T22" s="27" t="n"/>
      <c r="U22" s="27" t="n"/>
    </row>
    <row r="23">
      <c r="A23" s="27" t="n"/>
      <c r="B23" s="15">
        <f>IFERROR(INDEX(Lists!$C$2:$C$21,MATCH(A23,Lists!$B$2:$B$21,0)),"")</f>
        <v/>
      </c>
      <c r="C23" s="27" t="n"/>
      <c r="D23" s="27" t="n"/>
      <c r="E23" s="27" t="n"/>
      <c r="F23" s="27" t="n"/>
      <c r="G23" s="27" t="n"/>
      <c r="H23" s="27" t="n"/>
      <c r="I23" s="28" t="n"/>
      <c r="J23" s="29" t="n"/>
      <c r="K23" s="30" t="n"/>
      <c r="L23" s="31">
        <f>I23*K23</f>
        <v/>
      </c>
      <c r="M23" s="30" t="n"/>
      <c r="N23" s="30" t="n"/>
      <c r="O23" s="31">
        <f>L23+M23+N23</f>
        <v/>
      </c>
      <c r="P23" s="29" t="n"/>
      <c r="Q23" s="32" t="n"/>
      <c r="R23" s="27" t="n"/>
      <c r="S23" s="27" t="n"/>
      <c r="T23" s="27" t="n"/>
      <c r="U23" s="27" t="n"/>
    </row>
    <row r="24">
      <c r="A24" s="27" t="n"/>
      <c r="B24" s="15">
        <f>IFERROR(INDEX(Lists!$C$2:$C$21,MATCH(A24,Lists!$B$2:$B$21,0)),"")</f>
        <v/>
      </c>
      <c r="C24" s="27" t="n"/>
      <c r="D24" s="27" t="n"/>
      <c r="E24" s="27" t="n"/>
      <c r="F24" s="27" t="n"/>
      <c r="G24" s="27" t="n"/>
      <c r="H24" s="27" t="n"/>
      <c r="I24" s="28" t="n"/>
      <c r="J24" s="29" t="n"/>
      <c r="K24" s="30" t="n"/>
      <c r="L24" s="31">
        <f>I24*K24</f>
        <v/>
      </c>
      <c r="M24" s="30" t="n"/>
      <c r="N24" s="30" t="n"/>
      <c r="O24" s="31">
        <f>L24+M24+N24</f>
        <v/>
      </c>
      <c r="P24" s="29" t="n"/>
      <c r="Q24" s="32" t="n"/>
      <c r="R24" s="27" t="n"/>
      <c r="S24" s="27" t="n"/>
      <c r="T24" s="27" t="n"/>
      <c r="U24" s="27" t="n"/>
    </row>
    <row r="25">
      <c r="A25" s="27" t="n"/>
      <c r="B25" s="15">
        <f>IFERROR(INDEX(Lists!$C$2:$C$21,MATCH(A25,Lists!$B$2:$B$21,0)),"")</f>
        <v/>
      </c>
      <c r="C25" s="27" t="n"/>
      <c r="D25" s="27" t="n"/>
      <c r="E25" s="27" t="n"/>
      <c r="F25" s="27" t="n"/>
      <c r="G25" s="27" t="n"/>
      <c r="H25" s="27" t="n"/>
      <c r="I25" s="28" t="n"/>
      <c r="J25" s="29" t="n"/>
      <c r="K25" s="30" t="n"/>
      <c r="L25" s="31">
        <f>I25*K25</f>
        <v/>
      </c>
      <c r="M25" s="30" t="n"/>
      <c r="N25" s="30" t="n"/>
      <c r="O25" s="31">
        <f>L25+M25+N25</f>
        <v/>
      </c>
      <c r="P25" s="29" t="n"/>
      <c r="Q25" s="32" t="n"/>
      <c r="R25" s="27" t="n"/>
      <c r="S25" s="27" t="n"/>
      <c r="T25" s="27" t="n"/>
      <c r="U25" s="27" t="n"/>
    </row>
    <row r="26">
      <c r="A26" s="27" t="n"/>
      <c r="B26" s="15">
        <f>IFERROR(INDEX(Lists!$C$2:$C$21,MATCH(A26,Lists!$B$2:$B$21,0)),"")</f>
        <v/>
      </c>
      <c r="C26" s="27" t="n"/>
      <c r="D26" s="27" t="n"/>
      <c r="E26" s="27" t="n"/>
      <c r="F26" s="27" t="n"/>
      <c r="G26" s="27" t="n"/>
      <c r="H26" s="27" t="n"/>
      <c r="I26" s="28" t="n"/>
      <c r="J26" s="29" t="n"/>
      <c r="K26" s="30" t="n"/>
      <c r="L26" s="31">
        <f>I26*K26</f>
        <v/>
      </c>
      <c r="M26" s="30" t="n"/>
      <c r="N26" s="30" t="n"/>
      <c r="O26" s="31">
        <f>L26+M26+N26</f>
        <v/>
      </c>
      <c r="P26" s="29" t="n"/>
      <c r="Q26" s="32" t="n"/>
      <c r="R26" s="27" t="n"/>
      <c r="S26" s="27" t="n"/>
      <c r="T26" s="27" t="n"/>
      <c r="U26" s="27" t="n"/>
    </row>
    <row r="27">
      <c r="A27" s="27" t="n"/>
      <c r="B27" s="15">
        <f>IFERROR(INDEX(Lists!$C$2:$C$21,MATCH(A27,Lists!$B$2:$B$21,0)),"")</f>
        <v/>
      </c>
      <c r="C27" s="27" t="n"/>
      <c r="D27" s="27" t="n"/>
      <c r="E27" s="27" t="n"/>
      <c r="F27" s="27" t="n"/>
      <c r="G27" s="27" t="n"/>
      <c r="H27" s="27" t="n"/>
      <c r="I27" s="28" t="n"/>
      <c r="J27" s="29" t="n"/>
      <c r="K27" s="30" t="n"/>
      <c r="L27" s="31">
        <f>I27*K27</f>
        <v/>
      </c>
      <c r="M27" s="30" t="n"/>
      <c r="N27" s="30" t="n"/>
      <c r="O27" s="31">
        <f>L27+M27+N27</f>
        <v/>
      </c>
      <c r="P27" s="29" t="n"/>
      <c r="Q27" s="32" t="n"/>
      <c r="R27" s="27" t="n"/>
      <c r="S27" s="27" t="n"/>
      <c r="T27" s="27" t="n"/>
      <c r="U27" s="27" t="n"/>
    </row>
    <row r="28">
      <c r="A28" s="27" t="n"/>
      <c r="B28" s="15">
        <f>IFERROR(INDEX(Lists!$C$2:$C$21,MATCH(A28,Lists!$B$2:$B$21,0)),"")</f>
        <v/>
      </c>
      <c r="C28" s="27" t="n"/>
      <c r="D28" s="27" t="n"/>
      <c r="E28" s="27" t="n"/>
      <c r="F28" s="27" t="n"/>
      <c r="G28" s="27" t="n"/>
      <c r="H28" s="27" t="n"/>
      <c r="I28" s="28" t="n"/>
      <c r="J28" s="29" t="n"/>
      <c r="K28" s="30" t="n"/>
      <c r="L28" s="31">
        <f>I28*K28</f>
        <v/>
      </c>
      <c r="M28" s="30" t="n"/>
      <c r="N28" s="30" t="n"/>
      <c r="O28" s="31">
        <f>L28+M28+N28</f>
        <v/>
      </c>
      <c r="P28" s="29" t="n"/>
      <c r="Q28" s="32" t="n"/>
      <c r="R28" s="27" t="n"/>
      <c r="S28" s="27" t="n"/>
      <c r="T28" s="27" t="n"/>
      <c r="U28" s="27" t="n"/>
    </row>
    <row r="29">
      <c r="A29" s="27" t="n"/>
      <c r="B29" s="15">
        <f>IFERROR(INDEX(Lists!$C$2:$C$21,MATCH(A29,Lists!$B$2:$B$21,0)),"")</f>
        <v/>
      </c>
      <c r="C29" s="27" t="n"/>
      <c r="D29" s="27" t="n"/>
      <c r="E29" s="27" t="n"/>
      <c r="F29" s="27" t="n"/>
      <c r="G29" s="27" t="n"/>
      <c r="H29" s="27" t="n"/>
      <c r="I29" s="28" t="n"/>
      <c r="J29" s="29" t="n"/>
      <c r="K29" s="30" t="n"/>
      <c r="L29" s="31">
        <f>I29*K29</f>
        <v/>
      </c>
      <c r="M29" s="30" t="n"/>
      <c r="N29" s="30" t="n"/>
      <c r="O29" s="31">
        <f>L29+M29+N29</f>
        <v/>
      </c>
      <c r="P29" s="29" t="n"/>
      <c r="Q29" s="32" t="n"/>
      <c r="R29" s="27" t="n"/>
      <c r="S29" s="27" t="n"/>
      <c r="T29" s="27" t="n"/>
      <c r="U29" s="27" t="n"/>
    </row>
    <row r="30">
      <c r="A30" s="27" t="n"/>
      <c r="B30" s="15">
        <f>IFERROR(INDEX(Lists!$C$2:$C$21,MATCH(A30,Lists!$B$2:$B$21,0)),"")</f>
        <v/>
      </c>
      <c r="C30" s="27" t="n"/>
      <c r="D30" s="27" t="n"/>
      <c r="E30" s="27" t="n"/>
      <c r="F30" s="27" t="n"/>
      <c r="G30" s="27" t="n"/>
      <c r="H30" s="27" t="n"/>
      <c r="I30" s="28" t="n"/>
      <c r="J30" s="29" t="n"/>
      <c r="K30" s="30" t="n"/>
      <c r="L30" s="31">
        <f>I30*K30</f>
        <v/>
      </c>
      <c r="M30" s="30" t="n"/>
      <c r="N30" s="30" t="n"/>
      <c r="O30" s="31">
        <f>L30+M30+N30</f>
        <v/>
      </c>
      <c r="P30" s="29" t="n"/>
      <c r="Q30" s="32" t="n"/>
      <c r="R30" s="27" t="n"/>
      <c r="S30" s="27" t="n"/>
      <c r="T30" s="27" t="n"/>
      <c r="U30" s="27" t="n"/>
    </row>
    <row r="31">
      <c r="A31" s="27" t="n"/>
      <c r="B31" s="15">
        <f>IFERROR(INDEX(Lists!$C$2:$C$21,MATCH(A31,Lists!$B$2:$B$21,0)),"")</f>
        <v/>
      </c>
      <c r="C31" s="27" t="n"/>
      <c r="D31" s="27" t="n"/>
      <c r="E31" s="27" t="n"/>
      <c r="F31" s="27" t="n"/>
      <c r="G31" s="27" t="n"/>
      <c r="H31" s="27" t="n"/>
      <c r="I31" s="28" t="n"/>
      <c r="J31" s="29" t="n"/>
      <c r="K31" s="30" t="n"/>
      <c r="L31" s="31">
        <f>I31*K31</f>
        <v/>
      </c>
      <c r="M31" s="30" t="n"/>
      <c r="N31" s="30" t="n"/>
      <c r="O31" s="31">
        <f>L31+M31+N31</f>
        <v/>
      </c>
      <c r="P31" s="29" t="n"/>
      <c r="Q31" s="32" t="n"/>
      <c r="R31" s="27" t="n"/>
      <c r="S31" s="27" t="n"/>
      <c r="T31" s="27" t="n"/>
      <c r="U31" s="27" t="n"/>
    </row>
    <row r="32">
      <c r="A32" s="27" t="n"/>
      <c r="B32" s="15">
        <f>IFERROR(INDEX(Lists!$C$2:$C$21,MATCH(A32,Lists!$B$2:$B$21,0)),"")</f>
        <v/>
      </c>
      <c r="C32" s="27" t="n"/>
      <c r="D32" s="27" t="n"/>
      <c r="E32" s="27" t="n"/>
      <c r="F32" s="27" t="n"/>
      <c r="G32" s="27" t="n"/>
      <c r="H32" s="27" t="n"/>
      <c r="I32" s="28" t="n"/>
      <c r="J32" s="29" t="n"/>
      <c r="K32" s="30" t="n"/>
      <c r="L32" s="31">
        <f>I32*K32</f>
        <v/>
      </c>
      <c r="M32" s="30" t="n"/>
      <c r="N32" s="30" t="n"/>
      <c r="O32" s="31">
        <f>L32+M32+N32</f>
        <v/>
      </c>
      <c r="P32" s="29" t="n"/>
      <c r="Q32" s="32" t="n"/>
      <c r="R32" s="27" t="n"/>
      <c r="S32" s="27" t="n"/>
      <c r="T32" s="27" t="n"/>
      <c r="U32" s="27" t="n"/>
    </row>
    <row r="33">
      <c r="A33" s="27" t="n"/>
      <c r="B33" s="15">
        <f>IFERROR(INDEX(Lists!$C$2:$C$21,MATCH(A33,Lists!$B$2:$B$21,0)),"")</f>
        <v/>
      </c>
      <c r="C33" s="27" t="n"/>
      <c r="D33" s="27" t="n"/>
      <c r="E33" s="27" t="n"/>
      <c r="F33" s="27" t="n"/>
      <c r="G33" s="27" t="n"/>
      <c r="H33" s="27" t="n"/>
      <c r="I33" s="28" t="n"/>
      <c r="J33" s="29" t="n"/>
      <c r="K33" s="30" t="n"/>
      <c r="L33" s="31">
        <f>I33*K33</f>
        <v/>
      </c>
      <c r="M33" s="30" t="n"/>
      <c r="N33" s="30" t="n"/>
      <c r="O33" s="31">
        <f>L33+M33+N33</f>
        <v/>
      </c>
      <c r="P33" s="29" t="n"/>
      <c r="Q33" s="32" t="n"/>
      <c r="R33" s="27" t="n"/>
      <c r="S33" s="27" t="n"/>
      <c r="T33" s="27" t="n"/>
      <c r="U33" s="27" t="n"/>
    </row>
    <row r="34">
      <c r="A34" s="27" t="n"/>
      <c r="B34" s="15">
        <f>IFERROR(INDEX(Lists!$C$2:$C$21,MATCH(A34,Lists!$B$2:$B$21,0)),"")</f>
        <v/>
      </c>
      <c r="C34" s="27" t="n"/>
      <c r="D34" s="27" t="n"/>
      <c r="E34" s="27" t="n"/>
      <c r="F34" s="27" t="n"/>
      <c r="G34" s="27" t="n"/>
      <c r="H34" s="27" t="n"/>
      <c r="I34" s="28" t="n"/>
      <c r="J34" s="29" t="n"/>
      <c r="K34" s="30" t="n"/>
      <c r="L34" s="31">
        <f>I34*K34</f>
        <v/>
      </c>
      <c r="M34" s="30" t="n"/>
      <c r="N34" s="30" t="n"/>
      <c r="O34" s="31">
        <f>L34+M34+N34</f>
        <v/>
      </c>
      <c r="P34" s="29" t="n"/>
      <c r="Q34" s="32" t="n"/>
      <c r="R34" s="27" t="n"/>
      <c r="S34" s="27" t="n"/>
      <c r="T34" s="27" t="n"/>
      <c r="U34" s="27" t="n"/>
    </row>
    <row r="35">
      <c r="A35" s="27" t="n"/>
      <c r="B35" s="15">
        <f>IFERROR(INDEX(Lists!$C$2:$C$21,MATCH(A35,Lists!$B$2:$B$21,0)),"")</f>
        <v/>
      </c>
      <c r="C35" s="27" t="n"/>
      <c r="D35" s="27" t="n"/>
      <c r="E35" s="27" t="n"/>
      <c r="F35" s="27" t="n"/>
      <c r="G35" s="27" t="n"/>
      <c r="H35" s="27" t="n"/>
      <c r="I35" s="28" t="n"/>
      <c r="J35" s="29" t="n"/>
      <c r="K35" s="30" t="n"/>
      <c r="L35" s="31">
        <f>I35*K35</f>
        <v/>
      </c>
      <c r="M35" s="30" t="n"/>
      <c r="N35" s="30" t="n"/>
      <c r="O35" s="31">
        <f>L35+M35+N35</f>
        <v/>
      </c>
      <c r="P35" s="29" t="n"/>
      <c r="Q35" s="32" t="n"/>
      <c r="R35" s="27" t="n"/>
      <c r="S35" s="27" t="n"/>
      <c r="T35" s="27" t="n"/>
      <c r="U35" s="27" t="n"/>
    </row>
    <row r="36">
      <c r="A36" s="27" t="n"/>
      <c r="B36" s="15">
        <f>IFERROR(INDEX(Lists!$C$2:$C$21,MATCH(A36,Lists!$B$2:$B$21,0)),"")</f>
        <v/>
      </c>
      <c r="C36" s="27" t="n"/>
      <c r="D36" s="27" t="n"/>
      <c r="E36" s="27" t="n"/>
      <c r="F36" s="27" t="n"/>
      <c r="G36" s="27" t="n"/>
      <c r="H36" s="27" t="n"/>
      <c r="I36" s="28" t="n"/>
      <c r="J36" s="29" t="n"/>
      <c r="K36" s="30" t="n"/>
      <c r="L36" s="31">
        <f>I36*K36</f>
        <v/>
      </c>
      <c r="M36" s="30" t="n"/>
      <c r="N36" s="30" t="n"/>
      <c r="O36" s="31">
        <f>L36+M36+N36</f>
        <v/>
      </c>
      <c r="P36" s="29" t="n"/>
      <c r="Q36" s="32" t="n"/>
      <c r="R36" s="27" t="n"/>
      <c r="S36" s="27" t="n"/>
      <c r="T36" s="27" t="n"/>
      <c r="U36" s="27" t="n"/>
    </row>
    <row r="37">
      <c r="A37" s="27" t="n"/>
      <c r="B37" s="15">
        <f>IFERROR(INDEX(Lists!$C$2:$C$21,MATCH(A37,Lists!$B$2:$B$21,0)),"")</f>
        <v/>
      </c>
      <c r="C37" s="27" t="n"/>
      <c r="D37" s="27" t="n"/>
      <c r="E37" s="27" t="n"/>
      <c r="F37" s="27" t="n"/>
      <c r="G37" s="27" t="n"/>
      <c r="H37" s="27" t="n"/>
      <c r="I37" s="28" t="n"/>
      <c r="J37" s="29" t="n"/>
      <c r="K37" s="30" t="n"/>
      <c r="L37" s="31">
        <f>I37*K37</f>
        <v/>
      </c>
      <c r="M37" s="30" t="n"/>
      <c r="N37" s="30" t="n"/>
      <c r="O37" s="31">
        <f>L37+M37+N37</f>
        <v/>
      </c>
      <c r="P37" s="29" t="n"/>
      <c r="Q37" s="32" t="n"/>
      <c r="R37" s="27" t="n"/>
      <c r="S37" s="27" t="n"/>
      <c r="T37" s="27" t="n"/>
      <c r="U37" s="27" t="n"/>
    </row>
    <row r="38">
      <c r="A38" s="27" t="n"/>
      <c r="B38" s="15">
        <f>IFERROR(INDEX(Lists!$C$2:$C$21,MATCH(A38,Lists!$B$2:$B$21,0)),"")</f>
        <v/>
      </c>
      <c r="C38" s="27" t="n"/>
      <c r="D38" s="27" t="n"/>
      <c r="E38" s="27" t="n"/>
      <c r="F38" s="27" t="n"/>
      <c r="G38" s="27" t="n"/>
      <c r="H38" s="27" t="n"/>
      <c r="I38" s="28" t="n"/>
      <c r="J38" s="29" t="n"/>
      <c r="K38" s="30" t="n"/>
      <c r="L38" s="31">
        <f>I38*K38</f>
        <v/>
      </c>
      <c r="M38" s="30" t="n"/>
      <c r="N38" s="30" t="n"/>
      <c r="O38" s="31">
        <f>L38+M38+N38</f>
        <v/>
      </c>
      <c r="P38" s="29" t="n"/>
      <c r="Q38" s="32" t="n"/>
      <c r="R38" s="27" t="n"/>
      <c r="S38" s="27" t="n"/>
      <c r="T38" s="27" t="n"/>
      <c r="U38" s="27" t="n"/>
    </row>
    <row r="39">
      <c r="A39" s="27" t="n"/>
      <c r="B39" s="15">
        <f>IFERROR(INDEX(Lists!$C$2:$C$21,MATCH(A39,Lists!$B$2:$B$21,0)),"")</f>
        <v/>
      </c>
      <c r="C39" s="27" t="n"/>
      <c r="D39" s="27" t="n"/>
      <c r="E39" s="27" t="n"/>
      <c r="F39" s="27" t="n"/>
      <c r="G39" s="27" t="n"/>
      <c r="H39" s="27" t="n"/>
      <c r="I39" s="28" t="n"/>
      <c r="J39" s="29" t="n"/>
      <c r="K39" s="30" t="n"/>
      <c r="L39" s="31">
        <f>I39*K39</f>
        <v/>
      </c>
      <c r="M39" s="30" t="n"/>
      <c r="N39" s="30" t="n"/>
      <c r="O39" s="31">
        <f>L39+M39+N39</f>
        <v/>
      </c>
      <c r="P39" s="29" t="n"/>
      <c r="Q39" s="32" t="n"/>
      <c r="R39" s="27" t="n"/>
      <c r="S39" s="27" t="n"/>
      <c r="T39" s="27" t="n"/>
      <c r="U39" s="27" t="n"/>
    </row>
    <row r="40">
      <c r="A40" s="27" t="n"/>
      <c r="B40" s="15">
        <f>IFERROR(INDEX(Lists!$C$2:$C$21,MATCH(A40,Lists!$B$2:$B$21,0)),"")</f>
        <v/>
      </c>
      <c r="C40" s="27" t="n"/>
      <c r="D40" s="27" t="n"/>
      <c r="E40" s="27" t="n"/>
      <c r="F40" s="27" t="n"/>
      <c r="G40" s="27" t="n"/>
      <c r="H40" s="27" t="n"/>
      <c r="I40" s="28" t="n"/>
      <c r="J40" s="29" t="n"/>
      <c r="K40" s="30" t="n"/>
      <c r="L40" s="31">
        <f>I40*K40</f>
        <v/>
      </c>
      <c r="M40" s="30" t="n"/>
      <c r="N40" s="30" t="n"/>
      <c r="O40" s="31">
        <f>L40+M40+N40</f>
        <v/>
      </c>
      <c r="P40" s="29" t="n"/>
      <c r="Q40" s="32" t="n"/>
      <c r="R40" s="27" t="n"/>
      <c r="S40" s="27" t="n"/>
      <c r="T40" s="27" t="n"/>
      <c r="U40" s="27" t="n"/>
    </row>
    <row r="41">
      <c r="A41" s="27" t="n"/>
      <c r="B41" s="15">
        <f>IFERROR(INDEX(Lists!$C$2:$C$21,MATCH(A41,Lists!$B$2:$B$21,0)),"")</f>
        <v/>
      </c>
      <c r="C41" s="27" t="n"/>
      <c r="D41" s="27" t="n"/>
      <c r="E41" s="27" t="n"/>
      <c r="F41" s="27" t="n"/>
      <c r="G41" s="27" t="n"/>
      <c r="H41" s="27" t="n"/>
      <c r="I41" s="28" t="n"/>
      <c r="J41" s="29" t="n"/>
      <c r="K41" s="30" t="n"/>
      <c r="L41" s="31">
        <f>I41*K41</f>
        <v/>
      </c>
      <c r="M41" s="30" t="n"/>
      <c r="N41" s="30" t="n"/>
      <c r="O41" s="31">
        <f>L41+M41+N41</f>
        <v/>
      </c>
      <c r="P41" s="29" t="n"/>
      <c r="Q41" s="32" t="n"/>
      <c r="R41" s="27" t="n"/>
      <c r="S41" s="27" t="n"/>
      <c r="T41" s="27" t="n"/>
      <c r="U41" s="27" t="n"/>
    </row>
    <row r="42">
      <c r="A42" s="27" t="n"/>
      <c r="B42" s="15">
        <f>IFERROR(INDEX(Lists!$C$2:$C$21,MATCH(A42,Lists!$B$2:$B$21,0)),"")</f>
        <v/>
      </c>
      <c r="C42" s="27" t="n"/>
      <c r="D42" s="27" t="n"/>
      <c r="E42" s="27" t="n"/>
      <c r="F42" s="27" t="n"/>
      <c r="G42" s="27" t="n"/>
      <c r="H42" s="27" t="n"/>
      <c r="I42" s="28" t="n"/>
      <c r="J42" s="29" t="n"/>
      <c r="K42" s="30" t="n"/>
      <c r="L42" s="31">
        <f>I42*K42</f>
        <v/>
      </c>
      <c r="M42" s="30" t="n"/>
      <c r="N42" s="30" t="n"/>
      <c r="O42" s="31">
        <f>L42+M42+N42</f>
        <v/>
      </c>
      <c r="P42" s="29" t="n"/>
      <c r="Q42" s="32" t="n"/>
      <c r="R42" s="27" t="n"/>
      <c r="S42" s="27" t="n"/>
      <c r="T42" s="27" t="n"/>
      <c r="U42" s="27" t="n"/>
    </row>
    <row r="43">
      <c r="A43" s="27" t="n"/>
      <c r="B43" s="15">
        <f>IFERROR(INDEX(Lists!$C$2:$C$21,MATCH(A43,Lists!$B$2:$B$21,0)),"")</f>
        <v/>
      </c>
      <c r="C43" s="27" t="n"/>
      <c r="D43" s="27" t="n"/>
      <c r="E43" s="27" t="n"/>
      <c r="F43" s="27" t="n"/>
      <c r="G43" s="27" t="n"/>
      <c r="H43" s="27" t="n"/>
      <c r="I43" s="28" t="n"/>
      <c r="J43" s="29" t="n"/>
      <c r="K43" s="30" t="n"/>
      <c r="L43" s="31">
        <f>I43*K43</f>
        <v/>
      </c>
      <c r="M43" s="30" t="n"/>
      <c r="N43" s="30" t="n"/>
      <c r="O43" s="31">
        <f>L43+M43+N43</f>
        <v/>
      </c>
      <c r="P43" s="29" t="n"/>
      <c r="Q43" s="32" t="n"/>
      <c r="R43" s="27" t="n"/>
      <c r="S43" s="27" t="n"/>
      <c r="T43" s="27" t="n"/>
      <c r="U43" s="27" t="n"/>
    </row>
    <row r="44">
      <c r="A44" s="27" t="n"/>
      <c r="B44" s="15">
        <f>IFERROR(INDEX(Lists!$C$2:$C$21,MATCH(A44,Lists!$B$2:$B$21,0)),"")</f>
        <v/>
      </c>
      <c r="C44" s="27" t="n"/>
      <c r="D44" s="27" t="n"/>
      <c r="E44" s="27" t="n"/>
      <c r="F44" s="27" t="n"/>
      <c r="G44" s="27" t="n"/>
      <c r="H44" s="27" t="n"/>
      <c r="I44" s="28" t="n"/>
      <c r="J44" s="29" t="n"/>
      <c r="K44" s="30" t="n"/>
      <c r="L44" s="31">
        <f>I44*K44</f>
        <v/>
      </c>
      <c r="M44" s="30" t="n"/>
      <c r="N44" s="30" t="n"/>
      <c r="O44" s="31">
        <f>L44+M44+N44</f>
        <v/>
      </c>
      <c r="P44" s="29" t="n"/>
      <c r="Q44" s="32" t="n"/>
      <c r="R44" s="27" t="n"/>
      <c r="S44" s="27" t="n"/>
      <c r="T44" s="27" t="n"/>
      <c r="U44" s="27" t="n"/>
    </row>
    <row r="45">
      <c r="A45" s="27" t="n"/>
      <c r="B45" s="15">
        <f>IFERROR(INDEX(Lists!$C$2:$C$21,MATCH(A45,Lists!$B$2:$B$21,0)),"")</f>
        <v/>
      </c>
      <c r="C45" s="27" t="n"/>
      <c r="D45" s="27" t="n"/>
      <c r="E45" s="27" t="n"/>
      <c r="F45" s="27" t="n"/>
      <c r="G45" s="27" t="n"/>
      <c r="H45" s="27" t="n"/>
      <c r="I45" s="28" t="n"/>
      <c r="J45" s="29" t="n"/>
      <c r="K45" s="30" t="n"/>
      <c r="L45" s="31">
        <f>I45*K45</f>
        <v/>
      </c>
      <c r="M45" s="30" t="n"/>
      <c r="N45" s="30" t="n"/>
      <c r="O45" s="31">
        <f>L45+M45+N45</f>
        <v/>
      </c>
      <c r="P45" s="29" t="n"/>
      <c r="Q45" s="32" t="n"/>
      <c r="R45" s="27" t="n"/>
      <c r="S45" s="27" t="n"/>
      <c r="T45" s="27" t="n"/>
      <c r="U45" s="27" t="n"/>
    </row>
    <row r="46">
      <c r="A46" s="27" t="n"/>
      <c r="B46" s="15">
        <f>IFERROR(INDEX(Lists!$C$2:$C$21,MATCH(A46,Lists!$B$2:$B$21,0)),"")</f>
        <v/>
      </c>
      <c r="C46" s="27" t="n"/>
      <c r="D46" s="27" t="n"/>
      <c r="E46" s="27" t="n"/>
      <c r="F46" s="27" t="n"/>
      <c r="G46" s="27" t="n"/>
      <c r="H46" s="27" t="n"/>
      <c r="I46" s="28" t="n"/>
      <c r="J46" s="29" t="n"/>
      <c r="K46" s="30" t="n"/>
      <c r="L46" s="31">
        <f>I46*K46</f>
        <v/>
      </c>
      <c r="M46" s="30" t="n"/>
      <c r="N46" s="30" t="n"/>
      <c r="O46" s="31">
        <f>L46+M46+N46</f>
        <v/>
      </c>
      <c r="P46" s="29" t="n"/>
      <c r="Q46" s="32" t="n"/>
      <c r="R46" s="27" t="n"/>
      <c r="S46" s="27" t="n"/>
      <c r="T46" s="27" t="n"/>
      <c r="U46" s="27" t="n"/>
    </row>
    <row r="47">
      <c r="A47" s="27" t="n"/>
      <c r="B47" s="15">
        <f>IFERROR(INDEX(Lists!$C$2:$C$21,MATCH(A47,Lists!$B$2:$B$21,0)),"")</f>
        <v/>
      </c>
      <c r="C47" s="27" t="n"/>
      <c r="D47" s="27" t="n"/>
      <c r="E47" s="27" t="n"/>
      <c r="F47" s="27" t="n"/>
      <c r="G47" s="27" t="n"/>
      <c r="H47" s="27" t="n"/>
      <c r="I47" s="28" t="n"/>
      <c r="J47" s="29" t="n"/>
      <c r="K47" s="30" t="n"/>
      <c r="L47" s="31">
        <f>I47*K47</f>
        <v/>
      </c>
      <c r="M47" s="30" t="n"/>
      <c r="N47" s="30" t="n"/>
      <c r="O47" s="31">
        <f>L47+M47+N47</f>
        <v/>
      </c>
      <c r="P47" s="29" t="n"/>
      <c r="Q47" s="32" t="n"/>
      <c r="R47" s="27" t="n"/>
      <c r="S47" s="27" t="n"/>
      <c r="T47" s="27" t="n"/>
      <c r="U47" s="27" t="n"/>
    </row>
    <row r="48">
      <c r="A48" s="27" t="n"/>
      <c r="B48" s="15">
        <f>IFERROR(INDEX(Lists!$C$2:$C$21,MATCH(A48,Lists!$B$2:$B$21,0)),"")</f>
        <v/>
      </c>
      <c r="C48" s="27" t="n"/>
      <c r="D48" s="27" t="n"/>
      <c r="E48" s="27" t="n"/>
      <c r="F48" s="27" t="n"/>
      <c r="G48" s="27" t="n"/>
      <c r="H48" s="27" t="n"/>
      <c r="I48" s="28" t="n"/>
      <c r="J48" s="29" t="n"/>
      <c r="K48" s="30" t="n"/>
      <c r="L48" s="31">
        <f>I48*K48</f>
        <v/>
      </c>
      <c r="M48" s="30" t="n"/>
      <c r="N48" s="30" t="n"/>
      <c r="O48" s="31">
        <f>L48+M48+N48</f>
        <v/>
      </c>
      <c r="P48" s="29" t="n"/>
      <c r="Q48" s="32" t="n"/>
      <c r="R48" s="27" t="n"/>
      <c r="S48" s="27" t="n"/>
      <c r="T48" s="27" t="n"/>
      <c r="U48" s="27" t="n"/>
    </row>
    <row r="49">
      <c r="A49" s="27" t="n"/>
      <c r="B49" s="15">
        <f>IFERROR(INDEX(Lists!$C$2:$C$21,MATCH(A49,Lists!$B$2:$B$21,0)),"")</f>
        <v/>
      </c>
      <c r="C49" s="27" t="n"/>
      <c r="D49" s="27" t="n"/>
      <c r="E49" s="27" t="n"/>
      <c r="F49" s="27" t="n"/>
      <c r="G49" s="27" t="n"/>
      <c r="H49" s="27" t="n"/>
      <c r="I49" s="28" t="n"/>
      <c r="J49" s="29" t="n"/>
      <c r="K49" s="30" t="n"/>
      <c r="L49" s="31">
        <f>I49*K49</f>
        <v/>
      </c>
      <c r="M49" s="30" t="n"/>
      <c r="N49" s="30" t="n"/>
      <c r="O49" s="31">
        <f>L49+M49+N49</f>
        <v/>
      </c>
      <c r="P49" s="29" t="n"/>
      <c r="Q49" s="32" t="n"/>
      <c r="R49" s="27" t="n"/>
      <c r="S49" s="27" t="n"/>
      <c r="T49" s="27" t="n"/>
      <c r="U49" s="27" t="n"/>
    </row>
    <row r="50">
      <c r="A50" s="27" t="n"/>
      <c r="B50" s="15">
        <f>IFERROR(INDEX(Lists!$C$2:$C$21,MATCH(A50,Lists!$B$2:$B$21,0)),"")</f>
        <v/>
      </c>
      <c r="C50" s="27" t="n"/>
      <c r="D50" s="27" t="n"/>
      <c r="E50" s="27" t="n"/>
      <c r="F50" s="27" t="n"/>
      <c r="G50" s="27" t="n"/>
      <c r="H50" s="27" t="n"/>
      <c r="I50" s="28" t="n"/>
      <c r="J50" s="29" t="n"/>
      <c r="K50" s="30" t="n"/>
      <c r="L50" s="31">
        <f>I50*K50</f>
        <v/>
      </c>
      <c r="M50" s="30" t="n"/>
      <c r="N50" s="30" t="n"/>
      <c r="O50" s="31">
        <f>L50+M50+N50</f>
        <v/>
      </c>
      <c r="P50" s="29" t="n"/>
      <c r="Q50" s="32" t="n"/>
      <c r="R50" s="27" t="n"/>
      <c r="S50" s="27" t="n"/>
      <c r="T50" s="27" t="n"/>
      <c r="U50" s="27" t="n"/>
    </row>
    <row r="51">
      <c r="A51" s="27" t="n"/>
      <c r="B51" s="15">
        <f>IFERROR(INDEX(Lists!$C$2:$C$21,MATCH(A51,Lists!$B$2:$B$21,0)),"")</f>
        <v/>
      </c>
      <c r="C51" s="27" t="n"/>
      <c r="D51" s="27" t="n"/>
      <c r="E51" s="27" t="n"/>
      <c r="F51" s="27" t="n"/>
      <c r="G51" s="27" t="n"/>
      <c r="H51" s="27" t="n"/>
      <c r="I51" s="28" t="n"/>
      <c r="J51" s="29" t="n"/>
      <c r="K51" s="30" t="n"/>
      <c r="L51" s="31">
        <f>I51*K51</f>
        <v/>
      </c>
      <c r="M51" s="30" t="n"/>
      <c r="N51" s="30" t="n"/>
      <c r="O51" s="31">
        <f>L51+M51+N51</f>
        <v/>
      </c>
      <c r="P51" s="29" t="n"/>
      <c r="Q51" s="32" t="n"/>
      <c r="R51" s="27" t="n"/>
      <c r="S51" s="27" t="n"/>
      <c r="T51" s="27" t="n"/>
      <c r="U51" s="27" t="n"/>
    </row>
    <row r="52">
      <c r="A52" s="27" t="n"/>
      <c r="B52" s="15">
        <f>IFERROR(INDEX(Lists!$C$2:$C$21,MATCH(A52,Lists!$B$2:$B$21,0)),"")</f>
        <v/>
      </c>
      <c r="C52" s="27" t="n"/>
      <c r="D52" s="27" t="n"/>
      <c r="E52" s="27" t="n"/>
      <c r="F52" s="27" t="n"/>
      <c r="G52" s="27" t="n"/>
      <c r="H52" s="27" t="n"/>
      <c r="I52" s="28" t="n"/>
      <c r="J52" s="29" t="n"/>
      <c r="K52" s="30" t="n"/>
      <c r="L52" s="31">
        <f>I52*K52</f>
        <v/>
      </c>
      <c r="M52" s="30" t="n"/>
      <c r="N52" s="30" t="n"/>
      <c r="O52" s="31">
        <f>L52+M52+N52</f>
        <v/>
      </c>
      <c r="P52" s="29" t="n"/>
      <c r="Q52" s="32" t="n"/>
      <c r="R52" s="27" t="n"/>
      <c r="S52" s="27" t="n"/>
      <c r="T52" s="27" t="n"/>
      <c r="U52" s="27" t="n"/>
    </row>
    <row r="53">
      <c r="A53" s="27" t="n"/>
      <c r="B53" s="15">
        <f>IFERROR(INDEX(Lists!$C$2:$C$21,MATCH(A53,Lists!$B$2:$B$21,0)),"")</f>
        <v/>
      </c>
      <c r="C53" s="27" t="n"/>
      <c r="D53" s="27" t="n"/>
      <c r="E53" s="27" t="n"/>
      <c r="F53" s="27" t="n"/>
      <c r="G53" s="27" t="n"/>
      <c r="H53" s="27" t="n"/>
      <c r="I53" s="28" t="n"/>
      <c r="J53" s="29" t="n"/>
      <c r="K53" s="30" t="n"/>
      <c r="L53" s="31">
        <f>I53*K53</f>
        <v/>
      </c>
      <c r="M53" s="30" t="n"/>
      <c r="N53" s="30" t="n"/>
      <c r="O53" s="31">
        <f>L53+M53+N53</f>
        <v/>
      </c>
      <c r="P53" s="29" t="n"/>
      <c r="Q53" s="32" t="n"/>
      <c r="R53" s="27" t="n"/>
      <c r="S53" s="27" t="n"/>
      <c r="T53" s="27" t="n"/>
      <c r="U53" s="27" t="n"/>
    </row>
    <row r="54">
      <c r="A54" s="27" t="n"/>
      <c r="B54" s="15">
        <f>IFERROR(INDEX(Lists!$C$2:$C$21,MATCH(A54,Lists!$B$2:$B$21,0)),"")</f>
        <v/>
      </c>
      <c r="C54" s="27" t="n"/>
      <c r="D54" s="27" t="n"/>
      <c r="E54" s="27" t="n"/>
      <c r="F54" s="27" t="n"/>
      <c r="G54" s="27" t="n"/>
      <c r="H54" s="27" t="n"/>
      <c r="I54" s="28" t="n"/>
      <c r="J54" s="29" t="n"/>
      <c r="K54" s="30" t="n"/>
      <c r="L54" s="31">
        <f>I54*K54</f>
        <v/>
      </c>
      <c r="M54" s="30" t="n"/>
      <c r="N54" s="30" t="n"/>
      <c r="O54" s="31">
        <f>L54+M54+N54</f>
        <v/>
      </c>
      <c r="P54" s="29" t="n"/>
      <c r="Q54" s="32" t="n"/>
      <c r="R54" s="27" t="n"/>
      <c r="S54" s="27" t="n"/>
      <c r="T54" s="27" t="n"/>
      <c r="U54" s="27" t="n"/>
    </row>
    <row r="55">
      <c r="A55" s="27" t="n"/>
      <c r="B55" s="15">
        <f>IFERROR(INDEX(Lists!$C$2:$C$21,MATCH(A55,Lists!$B$2:$B$21,0)),"")</f>
        <v/>
      </c>
      <c r="C55" s="27" t="n"/>
      <c r="D55" s="27" t="n"/>
      <c r="E55" s="27" t="n"/>
      <c r="F55" s="27" t="n"/>
      <c r="G55" s="27" t="n"/>
      <c r="H55" s="27" t="n"/>
      <c r="I55" s="28" t="n"/>
      <c r="J55" s="29" t="n"/>
      <c r="K55" s="30" t="n"/>
      <c r="L55" s="31">
        <f>I55*K55</f>
        <v/>
      </c>
      <c r="M55" s="30" t="n"/>
      <c r="N55" s="30" t="n"/>
      <c r="O55" s="31">
        <f>L55+M55+N55</f>
        <v/>
      </c>
      <c r="P55" s="29" t="n"/>
      <c r="Q55" s="32" t="n"/>
      <c r="R55" s="27" t="n"/>
      <c r="S55" s="27" t="n"/>
      <c r="T55" s="27" t="n"/>
      <c r="U55" s="27" t="n"/>
    </row>
    <row r="56">
      <c r="A56" s="27" t="n"/>
      <c r="B56" s="15">
        <f>IFERROR(INDEX(Lists!$C$2:$C$21,MATCH(A56,Lists!$B$2:$B$21,0)),"")</f>
        <v/>
      </c>
      <c r="C56" s="27" t="n"/>
      <c r="D56" s="27" t="n"/>
      <c r="E56" s="27" t="n"/>
      <c r="F56" s="27" t="n"/>
      <c r="G56" s="27" t="n"/>
      <c r="H56" s="27" t="n"/>
      <c r="I56" s="28" t="n"/>
      <c r="J56" s="29" t="n"/>
      <c r="K56" s="30" t="n"/>
      <c r="L56" s="31">
        <f>I56*K56</f>
        <v/>
      </c>
      <c r="M56" s="30" t="n"/>
      <c r="N56" s="30" t="n"/>
      <c r="O56" s="31">
        <f>L56+M56+N56</f>
        <v/>
      </c>
      <c r="P56" s="29" t="n"/>
      <c r="Q56" s="32" t="n"/>
      <c r="R56" s="27" t="n"/>
      <c r="S56" s="27" t="n"/>
      <c r="T56" s="27" t="n"/>
      <c r="U56" s="27" t="n"/>
    </row>
    <row r="57">
      <c r="A57" s="27" t="n"/>
      <c r="B57" s="15">
        <f>IFERROR(INDEX(Lists!$C$2:$C$21,MATCH(A57,Lists!$B$2:$B$21,0)),"")</f>
        <v/>
      </c>
      <c r="C57" s="27" t="n"/>
      <c r="D57" s="27" t="n"/>
      <c r="E57" s="27" t="n"/>
      <c r="F57" s="27" t="n"/>
      <c r="G57" s="27" t="n"/>
      <c r="H57" s="27" t="n"/>
      <c r="I57" s="28" t="n"/>
      <c r="J57" s="29" t="n"/>
      <c r="K57" s="30" t="n"/>
      <c r="L57" s="31">
        <f>I57*K57</f>
        <v/>
      </c>
      <c r="M57" s="30" t="n"/>
      <c r="N57" s="30" t="n"/>
      <c r="O57" s="31">
        <f>L57+M57+N57</f>
        <v/>
      </c>
      <c r="P57" s="29" t="n"/>
      <c r="Q57" s="32" t="n"/>
      <c r="R57" s="27" t="n"/>
      <c r="S57" s="27" t="n"/>
      <c r="T57" s="27" t="n"/>
      <c r="U57" s="27" t="n"/>
    </row>
    <row r="58">
      <c r="A58" s="27" t="n"/>
      <c r="B58" s="15">
        <f>IFERROR(INDEX(Lists!$C$2:$C$21,MATCH(A58,Lists!$B$2:$B$21,0)),"")</f>
        <v/>
      </c>
      <c r="C58" s="27" t="n"/>
      <c r="D58" s="27" t="n"/>
      <c r="E58" s="27" t="n"/>
      <c r="F58" s="27" t="n"/>
      <c r="G58" s="27" t="n"/>
      <c r="H58" s="27" t="n"/>
      <c r="I58" s="28" t="n"/>
      <c r="J58" s="29" t="n"/>
      <c r="K58" s="30" t="n"/>
      <c r="L58" s="31">
        <f>I58*K58</f>
        <v/>
      </c>
      <c r="M58" s="30" t="n"/>
      <c r="N58" s="30" t="n"/>
      <c r="O58" s="31">
        <f>L58+M58+N58</f>
        <v/>
      </c>
      <c r="P58" s="29" t="n"/>
      <c r="Q58" s="32" t="n"/>
      <c r="R58" s="27" t="n"/>
      <c r="S58" s="27" t="n"/>
      <c r="T58" s="27" t="n"/>
      <c r="U58" s="27" t="n"/>
    </row>
    <row r="59">
      <c r="A59" s="27" t="n"/>
      <c r="B59" s="15">
        <f>IFERROR(INDEX(Lists!$C$2:$C$21,MATCH(A59,Lists!$B$2:$B$21,0)),"")</f>
        <v/>
      </c>
      <c r="C59" s="27" t="n"/>
      <c r="D59" s="27" t="n"/>
      <c r="E59" s="27" t="n"/>
      <c r="F59" s="27" t="n"/>
      <c r="G59" s="27" t="n"/>
      <c r="H59" s="27" t="n"/>
      <c r="I59" s="28" t="n"/>
      <c r="J59" s="29" t="n"/>
      <c r="K59" s="30" t="n"/>
      <c r="L59" s="31">
        <f>I59*K59</f>
        <v/>
      </c>
      <c r="M59" s="30" t="n"/>
      <c r="N59" s="30" t="n"/>
      <c r="O59" s="31">
        <f>L59+M59+N59</f>
        <v/>
      </c>
      <c r="P59" s="29" t="n"/>
      <c r="Q59" s="32" t="n"/>
      <c r="R59" s="27" t="n"/>
      <c r="S59" s="27" t="n"/>
      <c r="T59" s="27" t="n"/>
      <c r="U59" s="27" t="n"/>
    </row>
    <row r="60">
      <c r="A60" s="27" t="n"/>
      <c r="B60" s="15">
        <f>IFERROR(INDEX(Lists!$C$2:$C$21,MATCH(A60,Lists!$B$2:$B$21,0)),"")</f>
        <v/>
      </c>
      <c r="C60" s="27" t="n"/>
      <c r="D60" s="27" t="n"/>
      <c r="E60" s="27" t="n"/>
      <c r="F60" s="27" t="n"/>
      <c r="G60" s="27" t="n"/>
      <c r="H60" s="27" t="n"/>
      <c r="I60" s="28" t="n"/>
      <c r="J60" s="29" t="n"/>
      <c r="K60" s="30" t="n"/>
      <c r="L60" s="31">
        <f>I60*K60</f>
        <v/>
      </c>
      <c r="M60" s="30" t="n"/>
      <c r="N60" s="30" t="n"/>
      <c r="O60" s="31">
        <f>L60+M60+N60</f>
        <v/>
      </c>
      <c r="P60" s="29" t="n"/>
      <c r="Q60" s="32" t="n"/>
      <c r="R60" s="27" t="n"/>
      <c r="S60" s="27" t="n"/>
      <c r="T60" s="27" t="n"/>
      <c r="U60" s="27" t="n"/>
    </row>
    <row r="61">
      <c r="A61" s="27" t="n"/>
      <c r="B61" s="15">
        <f>IFERROR(INDEX(Lists!$C$2:$C$21,MATCH(A61,Lists!$B$2:$B$21,0)),"")</f>
        <v/>
      </c>
      <c r="C61" s="27" t="n"/>
      <c r="D61" s="27" t="n"/>
      <c r="E61" s="27" t="n"/>
      <c r="F61" s="27" t="n"/>
      <c r="G61" s="27" t="n"/>
      <c r="H61" s="27" t="n"/>
      <c r="I61" s="28" t="n"/>
      <c r="J61" s="29" t="n"/>
      <c r="K61" s="30" t="n"/>
      <c r="L61" s="31">
        <f>I61*K61</f>
        <v/>
      </c>
      <c r="M61" s="30" t="n"/>
      <c r="N61" s="30" t="n"/>
      <c r="O61" s="31">
        <f>L61+M61+N61</f>
        <v/>
      </c>
      <c r="P61" s="29" t="n"/>
      <c r="Q61" s="32" t="n"/>
      <c r="R61" s="27" t="n"/>
      <c r="S61" s="27" t="n"/>
      <c r="T61" s="27" t="n"/>
      <c r="U61" s="27" t="n"/>
    </row>
    <row r="62">
      <c r="A62" s="27" t="n"/>
      <c r="B62" s="15">
        <f>IFERROR(INDEX(Lists!$C$2:$C$21,MATCH(A62,Lists!$B$2:$B$21,0)),"")</f>
        <v/>
      </c>
      <c r="C62" s="27" t="n"/>
      <c r="D62" s="27" t="n"/>
      <c r="E62" s="27" t="n"/>
      <c r="F62" s="27" t="n"/>
      <c r="G62" s="27" t="n"/>
      <c r="H62" s="27" t="n"/>
      <c r="I62" s="28" t="n"/>
      <c r="J62" s="29" t="n"/>
      <c r="K62" s="30" t="n"/>
      <c r="L62" s="31">
        <f>I62*K62</f>
        <v/>
      </c>
      <c r="M62" s="30" t="n"/>
      <c r="N62" s="30" t="n"/>
      <c r="O62" s="31">
        <f>L62+M62+N62</f>
        <v/>
      </c>
      <c r="P62" s="29" t="n"/>
      <c r="Q62" s="32" t="n"/>
      <c r="R62" s="27" t="n"/>
      <c r="S62" s="27" t="n"/>
      <c r="T62" s="27" t="n"/>
      <c r="U62" s="27" t="n"/>
    </row>
    <row r="63">
      <c r="A63" s="27" t="n"/>
      <c r="B63" s="15">
        <f>IFERROR(INDEX(Lists!$C$2:$C$21,MATCH(A63,Lists!$B$2:$B$21,0)),"")</f>
        <v/>
      </c>
      <c r="C63" s="27" t="n"/>
      <c r="D63" s="27" t="n"/>
      <c r="E63" s="27" t="n"/>
      <c r="F63" s="27" t="n"/>
      <c r="G63" s="27" t="n"/>
      <c r="H63" s="27" t="n"/>
      <c r="I63" s="28" t="n"/>
      <c r="J63" s="29" t="n"/>
      <c r="K63" s="30" t="n"/>
      <c r="L63" s="31">
        <f>I63*K63</f>
        <v/>
      </c>
      <c r="M63" s="30" t="n"/>
      <c r="N63" s="30" t="n"/>
      <c r="O63" s="31">
        <f>L63+M63+N63</f>
        <v/>
      </c>
      <c r="P63" s="29" t="n"/>
      <c r="Q63" s="32" t="n"/>
      <c r="R63" s="27" t="n"/>
      <c r="S63" s="27" t="n"/>
      <c r="T63" s="27" t="n"/>
      <c r="U63" s="27" t="n"/>
    </row>
    <row r="64">
      <c r="A64" s="27" t="n"/>
      <c r="B64" s="15">
        <f>IFERROR(INDEX(Lists!$C$2:$C$21,MATCH(A64,Lists!$B$2:$B$21,0)),"")</f>
        <v/>
      </c>
      <c r="C64" s="27" t="n"/>
      <c r="D64" s="27" t="n"/>
      <c r="E64" s="27" t="n"/>
      <c r="F64" s="27" t="n"/>
      <c r="G64" s="27" t="n"/>
      <c r="H64" s="27" t="n"/>
      <c r="I64" s="28" t="n"/>
      <c r="J64" s="29" t="n"/>
      <c r="K64" s="30" t="n"/>
      <c r="L64" s="31">
        <f>I64*K64</f>
        <v/>
      </c>
      <c r="M64" s="30" t="n"/>
      <c r="N64" s="30" t="n"/>
      <c r="O64" s="31">
        <f>L64+M64+N64</f>
        <v/>
      </c>
      <c r="P64" s="29" t="n"/>
      <c r="Q64" s="32" t="n"/>
      <c r="R64" s="27" t="n"/>
      <c r="S64" s="27" t="n"/>
      <c r="T64" s="27" t="n"/>
      <c r="U64" s="27" t="n"/>
    </row>
    <row r="65">
      <c r="A65" s="27" t="n"/>
      <c r="B65" s="15">
        <f>IFERROR(INDEX(Lists!$C$2:$C$21,MATCH(A65,Lists!$B$2:$B$21,0)),"")</f>
        <v/>
      </c>
      <c r="C65" s="27" t="n"/>
      <c r="D65" s="27" t="n"/>
      <c r="E65" s="27" t="n"/>
      <c r="F65" s="27" t="n"/>
      <c r="G65" s="27" t="n"/>
      <c r="H65" s="27" t="n"/>
      <c r="I65" s="28" t="n"/>
      <c r="J65" s="29" t="n"/>
      <c r="K65" s="30" t="n"/>
      <c r="L65" s="31">
        <f>I65*K65</f>
        <v/>
      </c>
      <c r="M65" s="30" t="n"/>
      <c r="N65" s="30" t="n"/>
      <c r="O65" s="31">
        <f>L65+M65+N65</f>
        <v/>
      </c>
      <c r="P65" s="29" t="n"/>
      <c r="Q65" s="32" t="n"/>
      <c r="R65" s="27" t="n"/>
      <c r="S65" s="27" t="n"/>
      <c r="T65" s="27" t="n"/>
      <c r="U65" s="27" t="n"/>
    </row>
    <row r="66">
      <c r="A66" s="27" t="n"/>
      <c r="B66" s="15">
        <f>IFERROR(INDEX(Lists!$C$2:$C$21,MATCH(A66,Lists!$B$2:$B$21,0)),"")</f>
        <v/>
      </c>
      <c r="C66" s="27" t="n"/>
      <c r="D66" s="27" t="n"/>
      <c r="E66" s="27" t="n"/>
      <c r="F66" s="27" t="n"/>
      <c r="G66" s="27" t="n"/>
      <c r="H66" s="27" t="n"/>
      <c r="I66" s="28" t="n"/>
      <c r="J66" s="29" t="n"/>
      <c r="K66" s="30" t="n"/>
      <c r="L66" s="31">
        <f>I66*K66</f>
        <v/>
      </c>
      <c r="M66" s="30" t="n"/>
      <c r="N66" s="30" t="n"/>
      <c r="O66" s="31">
        <f>L66+M66+N66</f>
        <v/>
      </c>
      <c r="P66" s="29" t="n"/>
      <c r="Q66" s="32" t="n"/>
      <c r="R66" s="27" t="n"/>
      <c r="S66" s="27" t="n"/>
      <c r="T66" s="27" t="n"/>
      <c r="U66" s="27" t="n"/>
    </row>
    <row r="67">
      <c r="A67" s="27" t="n"/>
      <c r="B67" s="15">
        <f>IFERROR(INDEX(Lists!$C$2:$C$21,MATCH(A67,Lists!$B$2:$B$21,0)),"")</f>
        <v/>
      </c>
      <c r="C67" s="27" t="n"/>
      <c r="D67" s="27" t="n"/>
      <c r="E67" s="27" t="n"/>
      <c r="F67" s="27" t="n"/>
      <c r="G67" s="27" t="n"/>
      <c r="H67" s="27" t="n"/>
      <c r="I67" s="28" t="n"/>
      <c r="J67" s="29" t="n"/>
      <c r="K67" s="30" t="n"/>
      <c r="L67" s="31">
        <f>I67*K67</f>
        <v/>
      </c>
      <c r="M67" s="30" t="n"/>
      <c r="N67" s="30" t="n"/>
      <c r="O67" s="31">
        <f>L67+M67+N67</f>
        <v/>
      </c>
      <c r="P67" s="29" t="n"/>
      <c r="Q67" s="32" t="n"/>
      <c r="R67" s="27" t="n"/>
      <c r="S67" s="27" t="n"/>
      <c r="T67" s="27" t="n"/>
      <c r="U67" s="27" t="n"/>
    </row>
    <row r="68">
      <c r="A68" s="27" t="n"/>
      <c r="B68" s="15">
        <f>IFERROR(INDEX(Lists!$C$2:$C$21,MATCH(A68,Lists!$B$2:$B$21,0)),"")</f>
        <v/>
      </c>
      <c r="C68" s="27" t="n"/>
      <c r="D68" s="27" t="n"/>
      <c r="E68" s="27" t="n"/>
      <c r="F68" s="27" t="n"/>
      <c r="G68" s="27" t="n"/>
      <c r="H68" s="27" t="n"/>
      <c r="I68" s="28" t="n"/>
      <c r="J68" s="29" t="n"/>
      <c r="K68" s="30" t="n"/>
      <c r="L68" s="31">
        <f>I68*K68</f>
        <v/>
      </c>
      <c r="M68" s="30" t="n"/>
      <c r="N68" s="30" t="n"/>
      <c r="O68" s="31">
        <f>L68+M68+N68</f>
        <v/>
      </c>
      <c r="P68" s="29" t="n"/>
      <c r="Q68" s="32" t="n"/>
      <c r="R68" s="27" t="n"/>
      <c r="S68" s="27" t="n"/>
      <c r="T68" s="27" t="n"/>
      <c r="U68" s="27" t="n"/>
    </row>
    <row r="69">
      <c r="A69" s="27" t="n"/>
      <c r="B69" s="15">
        <f>IFERROR(INDEX(Lists!$C$2:$C$21,MATCH(A69,Lists!$B$2:$B$21,0)),"")</f>
        <v/>
      </c>
      <c r="C69" s="27" t="n"/>
      <c r="D69" s="27" t="n"/>
      <c r="E69" s="27" t="n"/>
      <c r="F69" s="27" t="n"/>
      <c r="G69" s="27" t="n"/>
      <c r="H69" s="27" t="n"/>
      <c r="I69" s="28" t="n"/>
      <c r="J69" s="29" t="n"/>
      <c r="K69" s="30" t="n"/>
      <c r="L69" s="31">
        <f>I69*K69</f>
        <v/>
      </c>
      <c r="M69" s="30" t="n"/>
      <c r="N69" s="30" t="n"/>
      <c r="O69" s="31">
        <f>L69+M69+N69</f>
        <v/>
      </c>
      <c r="P69" s="29" t="n"/>
      <c r="Q69" s="32" t="n"/>
      <c r="R69" s="27" t="n"/>
      <c r="S69" s="27" t="n"/>
      <c r="T69" s="27" t="n"/>
      <c r="U69" s="27" t="n"/>
    </row>
    <row r="70">
      <c r="A70" s="27" t="n"/>
      <c r="B70" s="15">
        <f>IFERROR(INDEX(Lists!$C$2:$C$21,MATCH(A70,Lists!$B$2:$B$21,0)),"")</f>
        <v/>
      </c>
      <c r="C70" s="27" t="n"/>
      <c r="D70" s="27" t="n"/>
      <c r="E70" s="27" t="n"/>
      <c r="F70" s="27" t="n"/>
      <c r="G70" s="27" t="n"/>
      <c r="H70" s="27" t="n"/>
      <c r="I70" s="28" t="n"/>
      <c r="J70" s="29" t="n"/>
      <c r="K70" s="30" t="n"/>
      <c r="L70" s="31">
        <f>I70*K70</f>
        <v/>
      </c>
      <c r="M70" s="30" t="n"/>
      <c r="N70" s="30" t="n"/>
      <c r="O70" s="31">
        <f>L70+M70+N70</f>
        <v/>
      </c>
      <c r="P70" s="29" t="n"/>
      <c r="Q70" s="32" t="n"/>
      <c r="R70" s="27" t="n"/>
      <c r="S70" s="27" t="n"/>
      <c r="T70" s="27" t="n"/>
      <c r="U70" s="27" t="n"/>
    </row>
    <row r="71">
      <c r="A71" s="27" t="n"/>
      <c r="B71" s="15">
        <f>IFERROR(INDEX(Lists!$C$2:$C$21,MATCH(A71,Lists!$B$2:$B$21,0)),"")</f>
        <v/>
      </c>
      <c r="C71" s="27" t="n"/>
      <c r="D71" s="27" t="n"/>
      <c r="E71" s="27" t="n"/>
      <c r="F71" s="27" t="n"/>
      <c r="G71" s="27" t="n"/>
      <c r="H71" s="27" t="n"/>
      <c r="I71" s="28" t="n"/>
      <c r="J71" s="29" t="n"/>
      <c r="K71" s="30" t="n"/>
      <c r="L71" s="31">
        <f>I71*K71</f>
        <v/>
      </c>
      <c r="M71" s="30" t="n"/>
      <c r="N71" s="30" t="n"/>
      <c r="O71" s="31">
        <f>L71+M71+N71</f>
        <v/>
      </c>
      <c r="P71" s="29" t="n"/>
      <c r="Q71" s="32" t="n"/>
      <c r="R71" s="27" t="n"/>
      <c r="S71" s="27" t="n"/>
      <c r="T71" s="27" t="n"/>
      <c r="U71" s="27" t="n"/>
    </row>
    <row r="72">
      <c r="A72" s="27" t="n"/>
      <c r="B72" s="15">
        <f>IFERROR(INDEX(Lists!$C$2:$C$21,MATCH(A72,Lists!$B$2:$B$21,0)),"")</f>
        <v/>
      </c>
      <c r="C72" s="27" t="n"/>
      <c r="D72" s="27" t="n"/>
      <c r="E72" s="27" t="n"/>
      <c r="F72" s="27" t="n"/>
      <c r="G72" s="27" t="n"/>
      <c r="H72" s="27" t="n"/>
      <c r="I72" s="28" t="n"/>
      <c r="J72" s="29" t="n"/>
      <c r="K72" s="30" t="n"/>
      <c r="L72" s="31">
        <f>I72*K72</f>
        <v/>
      </c>
      <c r="M72" s="30" t="n"/>
      <c r="N72" s="30" t="n"/>
      <c r="O72" s="31">
        <f>L72+M72+N72</f>
        <v/>
      </c>
      <c r="P72" s="29" t="n"/>
      <c r="Q72" s="32" t="n"/>
      <c r="R72" s="27" t="n"/>
      <c r="S72" s="27" t="n"/>
      <c r="T72" s="27" t="n"/>
      <c r="U72" s="27" t="n"/>
    </row>
    <row r="73">
      <c r="A73" s="27" t="n"/>
      <c r="B73" s="15">
        <f>IFERROR(INDEX(Lists!$C$2:$C$21,MATCH(A73,Lists!$B$2:$B$21,0)),"")</f>
        <v/>
      </c>
      <c r="C73" s="27" t="n"/>
      <c r="D73" s="27" t="n"/>
      <c r="E73" s="27" t="n"/>
      <c r="F73" s="27" t="n"/>
      <c r="G73" s="27" t="n"/>
      <c r="H73" s="27" t="n"/>
      <c r="I73" s="28" t="n"/>
      <c r="J73" s="29" t="n"/>
      <c r="K73" s="30" t="n"/>
      <c r="L73" s="31">
        <f>I73*K73</f>
        <v/>
      </c>
      <c r="M73" s="30" t="n"/>
      <c r="N73" s="30" t="n"/>
      <c r="O73" s="31">
        <f>L73+M73+N73</f>
        <v/>
      </c>
      <c r="P73" s="29" t="n"/>
      <c r="Q73" s="32" t="n"/>
      <c r="R73" s="27" t="n"/>
      <c r="S73" s="27" t="n"/>
      <c r="T73" s="27" t="n"/>
      <c r="U73" s="27" t="n"/>
    </row>
    <row r="74">
      <c r="A74" s="27" t="n"/>
      <c r="B74" s="15">
        <f>IFERROR(INDEX(Lists!$C$2:$C$21,MATCH(A74,Lists!$B$2:$B$21,0)),"")</f>
        <v/>
      </c>
      <c r="C74" s="27" t="n"/>
      <c r="D74" s="27" t="n"/>
      <c r="E74" s="27" t="n"/>
      <c r="F74" s="27" t="n"/>
      <c r="G74" s="27" t="n"/>
      <c r="H74" s="27" t="n"/>
      <c r="I74" s="28" t="n"/>
      <c r="J74" s="29" t="n"/>
      <c r="K74" s="30" t="n"/>
      <c r="L74" s="31">
        <f>I74*K74</f>
        <v/>
      </c>
      <c r="M74" s="30" t="n"/>
      <c r="N74" s="30" t="n"/>
      <c r="O74" s="31">
        <f>L74+M74+N74</f>
        <v/>
      </c>
      <c r="P74" s="29" t="n"/>
      <c r="Q74" s="32" t="n"/>
      <c r="R74" s="27" t="n"/>
      <c r="S74" s="27" t="n"/>
      <c r="T74" s="27" t="n"/>
      <c r="U74" s="27" t="n"/>
    </row>
    <row r="75">
      <c r="A75" s="27" t="n"/>
      <c r="B75" s="15">
        <f>IFERROR(INDEX(Lists!$C$2:$C$21,MATCH(A75,Lists!$B$2:$B$21,0)),"")</f>
        <v/>
      </c>
      <c r="C75" s="27" t="n"/>
      <c r="D75" s="27" t="n"/>
      <c r="E75" s="27" t="n"/>
      <c r="F75" s="27" t="n"/>
      <c r="G75" s="27" t="n"/>
      <c r="H75" s="27" t="n"/>
      <c r="I75" s="28" t="n"/>
      <c r="J75" s="29" t="n"/>
      <c r="K75" s="30" t="n"/>
      <c r="L75" s="31">
        <f>I75*K75</f>
        <v/>
      </c>
      <c r="M75" s="30" t="n"/>
      <c r="N75" s="30" t="n"/>
      <c r="O75" s="31">
        <f>L75+M75+N75</f>
        <v/>
      </c>
      <c r="P75" s="29" t="n"/>
      <c r="Q75" s="32" t="n"/>
      <c r="R75" s="27" t="n"/>
      <c r="S75" s="27" t="n"/>
      <c r="T75" s="27" t="n"/>
      <c r="U75" s="27" t="n"/>
    </row>
    <row r="76">
      <c r="A76" s="27" t="n"/>
      <c r="B76" s="15">
        <f>IFERROR(INDEX(Lists!$C$2:$C$21,MATCH(A76,Lists!$B$2:$B$21,0)),"")</f>
        <v/>
      </c>
      <c r="C76" s="27" t="n"/>
      <c r="D76" s="27" t="n"/>
      <c r="E76" s="27" t="n"/>
      <c r="F76" s="27" t="n"/>
      <c r="G76" s="27" t="n"/>
      <c r="H76" s="27" t="n"/>
      <c r="I76" s="28" t="n"/>
      <c r="J76" s="29" t="n"/>
      <c r="K76" s="30" t="n"/>
      <c r="L76" s="31">
        <f>I76*K76</f>
        <v/>
      </c>
      <c r="M76" s="30" t="n"/>
      <c r="N76" s="30" t="n"/>
      <c r="O76" s="31">
        <f>L76+M76+N76</f>
        <v/>
      </c>
      <c r="P76" s="29" t="n"/>
      <c r="Q76" s="32" t="n"/>
      <c r="R76" s="27" t="n"/>
      <c r="S76" s="27" t="n"/>
      <c r="T76" s="27" t="n"/>
      <c r="U76" s="27" t="n"/>
    </row>
    <row r="77">
      <c r="A77" s="27" t="n"/>
      <c r="B77" s="15">
        <f>IFERROR(INDEX(Lists!$C$2:$C$21,MATCH(A77,Lists!$B$2:$B$21,0)),"")</f>
        <v/>
      </c>
      <c r="C77" s="27" t="n"/>
      <c r="D77" s="27" t="n"/>
      <c r="E77" s="27" t="n"/>
      <c r="F77" s="27" t="n"/>
      <c r="G77" s="27" t="n"/>
      <c r="H77" s="27" t="n"/>
      <c r="I77" s="28" t="n"/>
      <c r="J77" s="29" t="n"/>
      <c r="K77" s="30" t="n"/>
      <c r="L77" s="31">
        <f>I77*K77</f>
        <v/>
      </c>
      <c r="M77" s="30" t="n"/>
      <c r="N77" s="30" t="n"/>
      <c r="O77" s="31">
        <f>L77+M77+N77</f>
        <v/>
      </c>
      <c r="P77" s="29" t="n"/>
      <c r="Q77" s="32" t="n"/>
      <c r="R77" s="27" t="n"/>
      <c r="S77" s="27" t="n"/>
      <c r="T77" s="27" t="n"/>
      <c r="U77" s="27" t="n"/>
    </row>
    <row r="78">
      <c r="A78" s="27" t="n"/>
      <c r="B78" s="15">
        <f>IFERROR(INDEX(Lists!$C$2:$C$21,MATCH(A78,Lists!$B$2:$B$21,0)),"")</f>
        <v/>
      </c>
      <c r="C78" s="27" t="n"/>
      <c r="D78" s="27" t="n"/>
      <c r="E78" s="27" t="n"/>
      <c r="F78" s="27" t="n"/>
      <c r="G78" s="27" t="n"/>
      <c r="H78" s="27" t="n"/>
      <c r="I78" s="28" t="n"/>
      <c r="J78" s="29" t="n"/>
      <c r="K78" s="30" t="n"/>
      <c r="L78" s="31">
        <f>I78*K78</f>
        <v/>
      </c>
      <c r="M78" s="30" t="n"/>
      <c r="N78" s="30" t="n"/>
      <c r="O78" s="31">
        <f>L78+M78+N78</f>
        <v/>
      </c>
      <c r="P78" s="29" t="n"/>
      <c r="Q78" s="32" t="n"/>
      <c r="R78" s="27" t="n"/>
      <c r="S78" s="27" t="n"/>
      <c r="T78" s="27" t="n"/>
      <c r="U78" s="27" t="n"/>
    </row>
    <row r="79">
      <c r="A79" s="27" t="n"/>
      <c r="B79" s="15">
        <f>IFERROR(INDEX(Lists!$C$2:$C$21,MATCH(A79,Lists!$B$2:$B$21,0)),"")</f>
        <v/>
      </c>
      <c r="C79" s="27" t="n"/>
      <c r="D79" s="27" t="n"/>
      <c r="E79" s="27" t="n"/>
      <c r="F79" s="27" t="n"/>
      <c r="G79" s="27" t="n"/>
      <c r="H79" s="27" t="n"/>
      <c r="I79" s="28" t="n"/>
      <c r="J79" s="29" t="n"/>
      <c r="K79" s="30" t="n"/>
      <c r="L79" s="31">
        <f>I79*K79</f>
        <v/>
      </c>
      <c r="M79" s="30" t="n"/>
      <c r="N79" s="30" t="n"/>
      <c r="O79" s="31">
        <f>L79+M79+N79</f>
        <v/>
      </c>
      <c r="P79" s="29" t="n"/>
      <c r="Q79" s="32" t="n"/>
      <c r="R79" s="27" t="n"/>
      <c r="S79" s="27" t="n"/>
      <c r="T79" s="27" t="n"/>
      <c r="U79" s="27" t="n"/>
    </row>
    <row r="80">
      <c r="A80" s="27" t="n"/>
      <c r="B80" s="15">
        <f>IFERROR(INDEX(Lists!$C$2:$C$21,MATCH(A80,Lists!$B$2:$B$21,0)),"")</f>
        <v/>
      </c>
      <c r="C80" s="27" t="n"/>
      <c r="D80" s="27" t="n"/>
      <c r="E80" s="27" t="n"/>
      <c r="F80" s="27" t="n"/>
      <c r="G80" s="27" t="n"/>
      <c r="H80" s="27" t="n"/>
      <c r="I80" s="28" t="n"/>
      <c r="J80" s="29" t="n"/>
      <c r="K80" s="30" t="n"/>
      <c r="L80" s="31">
        <f>I80*K80</f>
        <v/>
      </c>
      <c r="M80" s="30" t="n"/>
      <c r="N80" s="30" t="n"/>
      <c r="O80" s="31">
        <f>L80+M80+N80</f>
        <v/>
      </c>
      <c r="P80" s="29" t="n"/>
      <c r="Q80" s="32" t="n"/>
      <c r="R80" s="27" t="n"/>
      <c r="S80" s="27" t="n"/>
      <c r="T80" s="27" t="n"/>
      <c r="U80" s="27" t="n"/>
    </row>
    <row r="81">
      <c r="A81" s="27" t="n"/>
      <c r="B81" s="15">
        <f>IFERROR(INDEX(Lists!$C$2:$C$21,MATCH(A81,Lists!$B$2:$B$21,0)),"")</f>
        <v/>
      </c>
      <c r="C81" s="27" t="n"/>
      <c r="D81" s="27" t="n"/>
      <c r="E81" s="27" t="n"/>
      <c r="F81" s="27" t="n"/>
      <c r="G81" s="27" t="n"/>
      <c r="H81" s="27" t="n"/>
      <c r="I81" s="28" t="n"/>
      <c r="J81" s="29" t="n"/>
      <c r="K81" s="30" t="n"/>
      <c r="L81" s="31">
        <f>I81*K81</f>
        <v/>
      </c>
      <c r="M81" s="30" t="n"/>
      <c r="N81" s="30" t="n"/>
      <c r="O81" s="31">
        <f>L81+M81+N81</f>
        <v/>
      </c>
      <c r="P81" s="29" t="n"/>
      <c r="Q81" s="32" t="n"/>
      <c r="R81" s="27" t="n"/>
      <c r="S81" s="27" t="n"/>
      <c r="T81" s="27" t="n"/>
      <c r="U81" s="27" t="n"/>
    </row>
    <row r="82">
      <c r="A82" s="27" t="n"/>
      <c r="B82" s="15">
        <f>IFERROR(INDEX(Lists!$C$2:$C$21,MATCH(A82,Lists!$B$2:$B$21,0)),"")</f>
        <v/>
      </c>
      <c r="C82" s="27" t="n"/>
      <c r="D82" s="27" t="n"/>
      <c r="E82" s="27" t="n"/>
      <c r="F82" s="27" t="n"/>
      <c r="G82" s="27" t="n"/>
      <c r="H82" s="27" t="n"/>
      <c r="I82" s="28" t="n"/>
      <c r="J82" s="29" t="n"/>
      <c r="K82" s="30" t="n"/>
      <c r="L82" s="31">
        <f>I82*K82</f>
        <v/>
      </c>
      <c r="M82" s="30" t="n"/>
      <c r="N82" s="30" t="n"/>
      <c r="O82" s="31">
        <f>L82+M82+N82</f>
        <v/>
      </c>
      <c r="P82" s="29" t="n"/>
      <c r="Q82" s="32" t="n"/>
      <c r="R82" s="27" t="n"/>
      <c r="S82" s="27" t="n"/>
      <c r="T82" s="27" t="n"/>
      <c r="U82" s="27" t="n"/>
    </row>
    <row r="83">
      <c r="A83" s="27" t="n"/>
      <c r="B83" s="15">
        <f>IFERROR(INDEX(Lists!$C$2:$C$21,MATCH(A83,Lists!$B$2:$B$21,0)),"")</f>
        <v/>
      </c>
      <c r="C83" s="27" t="n"/>
      <c r="D83" s="27" t="n"/>
      <c r="E83" s="27" t="n"/>
      <c r="F83" s="27" t="n"/>
      <c r="G83" s="27" t="n"/>
      <c r="H83" s="27" t="n"/>
      <c r="I83" s="28" t="n"/>
      <c r="J83" s="29" t="n"/>
      <c r="K83" s="30" t="n"/>
      <c r="L83" s="31">
        <f>I83*K83</f>
        <v/>
      </c>
      <c r="M83" s="30" t="n"/>
      <c r="N83" s="30" t="n"/>
      <c r="O83" s="31">
        <f>L83+M83+N83</f>
        <v/>
      </c>
      <c r="P83" s="29" t="n"/>
      <c r="Q83" s="32" t="n"/>
      <c r="R83" s="27" t="n"/>
      <c r="S83" s="27" t="n"/>
      <c r="T83" s="27" t="n"/>
      <c r="U83" s="27" t="n"/>
    </row>
    <row r="84">
      <c r="A84" s="27" t="n"/>
      <c r="B84" s="15">
        <f>IFERROR(INDEX(Lists!$C$2:$C$21,MATCH(A84,Lists!$B$2:$B$21,0)),"")</f>
        <v/>
      </c>
      <c r="C84" s="27" t="n"/>
      <c r="D84" s="27" t="n"/>
      <c r="E84" s="27" t="n"/>
      <c r="F84" s="27" t="n"/>
      <c r="G84" s="27" t="n"/>
      <c r="H84" s="27" t="n"/>
      <c r="I84" s="28" t="n"/>
      <c r="J84" s="29" t="n"/>
      <c r="K84" s="30" t="n"/>
      <c r="L84" s="31">
        <f>I84*K84</f>
        <v/>
      </c>
      <c r="M84" s="30" t="n"/>
      <c r="N84" s="30" t="n"/>
      <c r="O84" s="31">
        <f>L84+M84+N84</f>
        <v/>
      </c>
      <c r="P84" s="29" t="n"/>
      <c r="Q84" s="32" t="n"/>
      <c r="R84" s="27" t="n"/>
      <c r="S84" s="27" t="n"/>
      <c r="T84" s="27" t="n"/>
      <c r="U84" s="27" t="n"/>
    </row>
    <row r="85">
      <c r="A85" s="27" t="n"/>
      <c r="B85" s="15">
        <f>IFERROR(INDEX(Lists!$C$2:$C$21,MATCH(A85,Lists!$B$2:$B$21,0)),"")</f>
        <v/>
      </c>
      <c r="C85" s="27" t="n"/>
      <c r="D85" s="27" t="n"/>
      <c r="E85" s="27" t="n"/>
      <c r="F85" s="27" t="n"/>
      <c r="G85" s="27" t="n"/>
      <c r="H85" s="27" t="n"/>
      <c r="I85" s="28" t="n"/>
      <c r="J85" s="29" t="n"/>
      <c r="K85" s="30" t="n"/>
      <c r="L85" s="31">
        <f>I85*K85</f>
        <v/>
      </c>
      <c r="M85" s="30" t="n"/>
      <c r="N85" s="30" t="n"/>
      <c r="O85" s="31">
        <f>L85+M85+N85</f>
        <v/>
      </c>
      <c r="P85" s="29" t="n"/>
      <c r="Q85" s="32" t="n"/>
      <c r="R85" s="27" t="n"/>
      <c r="S85" s="27" t="n"/>
      <c r="T85" s="27" t="n"/>
      <c r="U85" s="27" t="n"/>
    </row>
    <row r="86">
      <c r="A86" s="27" t="n"/>
      <c r="B86" s="15">
        <f>IFERROR(INDEX(Lists!$C$2:$C$21,MATCH(A86,Lists!$B$2:$B$21,0)),"")</f>
        <v/>
      </c>
      <c r="C86" s="27" t="n"/>
      <c r="D86" s="27" t="n"/>
      <c r="E86" s="27" t="n"/>
      <c r="F86" s="27" t="n"/>
      <c r="G86" s="27" t="n"/>
      <c r="H86" s="27" t="n"/>
      <c r="I86" s="28" t="n"/>
      <c r="J86" s="29" t="n"/>
      <c r="K86" s="30" t="n"/>
      <c r="L86" s="31">
        <f>I86*K86</f>
        <v/>
      </c>
      <c r="M86" s="30" t="n"/>
      <c r="N86" s="30" t="n"/>
      <c r="O86" s="31">
        <f>L86+M86+N86</f>
        <v/>
      </c>
      <c r="P86" s="29" t="n"/>
      <c r="Q86" s="32" t="n"/>
      <c r="R86" s="27" t="n"/>
      <c r="S86" s="27" t="n"/>
      <c r="T86" s="27" t="n"/>
      <c r="U86" s="27" t="n"/>
    </row>
    <row r="87">
      <c r="A87" s="27" t="n"/>
      <c r="B87" s="15">
        <f>IFERROR(INDEX(Lists!$C$2:$C$21,MATCH(A87,Lists!$B$2:$B$21,0)),"")</f>
        <v/>
      </c>
      <c r="C87" s="27" t="n"/>
      <c r="D87" s="27" t="n"/>
      <c r="E87" s="27" t="n"/>
      <c r="F87" s="27" t="n"/>
      <c r="G87" s="27" t="n"/>
      <c r="H87" s="27" t="n"/>
      <c r="I87" s="28" t="n"/>
      <c r="J87" s="29" t="n"/>
      <c r="K87" s="30" t="n"/>
      <c r="L87" s="31">
        <f>I87*K87</f>
        <v/>
      </c>
      <c r="M87" s="30" t="n"/>
      <c r="N87" s="30" t="n"/>
      <c r="O87" s="31">
        <f>L87+M87+N87</f>
        <v/>
      </c>
      <c r="P87" s="29" t="n"/>
      <c r="Q87" s="32" t="n"/>
      <c r="R87" s="27" t="n"/>
      <c r="S87" s="27" t="n"/>
      <c r="T87" s="27" t="n"/>
      <c r="U87" s="27" t="n"/>
    </row>
    <row r="88">
      <c r="A88" s="27" t="n"/>
      <c r="B88" s="15">
        <f>IFERROR(INDEX(Lists!$C$2:$C$21,MATCH(A88,Lists!$B$2:$B$21,0)),"")</f>
        <v/>
      </c>
      <c r="C88" s="27" t="n"/>
      <c r="D88" s="27" t="n"/>
      <c r="E88" s="27" t="n"/>
      <c r="F88" s="27" t="n"/>
      <c r="G88" s="27" t="n"/>
      <c r="H88" s="27" t="n"/>
      <c r="I88" s="28" t="n"/>
      <c r="J88" s="29" t="n"/>
      <c r="K88" s="30" t="n"/>
      <c r="L88" s="31">
        <f>I88*K88</f>
        <v/>
      </c>
      <c r="M88" s="30" t="n"/>
      <c r="N88" s="30" t="n"/>
      <c r="O88" s="31">
        <f>L88+M88+N88</f>
        <v/>
      </c>
      <c r="P88" s="29" t="n"/>
      <c r="Q88" s="32" t="n"/>
      <c r="R88" s="27" t="n"/>
      <c r="S88" s="27" t="n"/>
      <c r="T88" s="27" t="n"/>
      <c r="U88" s="27" t="n"/>
    </row>
    <row r="89">
      <c r="A89" s="27" t="n"/>
      <c r="B89" s="15">
        <f>IFERROR(INDEX(Lists!$C$2:$C$21,MATCH(A89,Lists!$B$2:$B$21,0)),"")</f>
        <v/>
      </c>
      <c r="C89" s="27" t="n"/>
      <c r="D89" s="27" t="n"/>
      <c r="E89" s="27" t="n"/>
      <c r="F89" s="27" t="n"/>
      <c r="G89" s="27" t="n"/>
      <c r="H89" s="27" t="n"/>
      <c r="I89" s="28" t="n"/>
      <c r="J89" s="29" t="n"/>
      <c r="K89" s="30" t="n"/>
      <c r="L89" s="31">
        <f>I89*K89</f>
        <v/>
      </c>
      <c r="M89" s="30" t="n"/>
      <c r="N89" s="30" t="n"/>
      <c r="O89" s="31">
        <f>L89+M89+N89</f>
        <v/>
      </c>
      <c r="P89" s="29" t="n"/>
      <c r="Q89" s="32" t="n"/>
      <c r="R89" s="27" t="n"/>
      <c r="S89" s="27" t="n"/>
      <c r="T89" s="27" t="n"/>
      <c r="U89" s="27" t="n"/>
    </row>
    <row r="90">
      <c r="A90" s="27" t="n"/>
      <c r="B90" s="15">
        <f>IFERROR(INDEX(Lists!$C$2:$C$21,MATCH(A90,Lists!$B$2:$B$21,0)),"")</f>
        <v/>
      </c>
      <c r="C90" s="27" t="n"/>
      <c r="D90" s="27" t="n"/>
      <c r="E90" s="27" t="n"/>
      <c r="F90" s="27" t="n"/>
      <c r="G90" s="27" t="n"/>
      <c r="H90" s="27" t="n"/>
      <c r="I90" s="28" t="n"/>
      <c r="J90" s="29" t="n"/>
      <c r="K90" s="30" t="n"/>
      <c r="L90" s="31">
        <f>I90*K90</f>
        <v/>
      </c>
      <c r="M90" s="30" t="n"/>
      <c r="N90" s="30" t="n"/>
      <c r="O90" s="31">
        <f>L90+M90+N90</f>
        <v/>
      </c>
      <c r="P90" s="29" t="n"/>
      <c r="Q90" s="32" t="n"/>
      <c r="R90" s="27" t="n"/>
      <c r="S90" s="27" t="n"/>
      <c r="T90" s="27" t="n"/>
      <c r="U90" s="27" t="n"/>
    </row>
    <row r="91">
      <c r="A91" s="27" t="n"/>
      <c r="B91" s="15">
        <f>IFERROR(INDEX(Lists!$C$2:$C$21,MATCH(A91,Lists!$B$2:$B$21,0)),"")</f>
        <v/>
      </c>
      <c r="C91" s="27" t="n"/>
      <c r="D91" s="27" t="n"/>
      <c r="E91" s="27" t="n"/>
      <c r="F91" s="27" t="n"/>
      <c r="G91" s="27" t="n"/>
      <c r="H91" s="27" t="n"/>
      <c r="I91" s="28" t="n"/>
      <c r="J91" s="29" t="n"/>
      <c r="K91" s="30" t="n"/>
      <c r="L91" s="31">
        <f>I91*K91</f>
        <v/>
      </c>
      <c r="M91" s="30" t="n"/>
      <c r="N91" s="30" t="n"/>
      <c r="O91" s="31">
        <f>L91+M91+N91</f>
        <v/>
      </c>
      <c r="P91" s="29" t="n"/>
      <c r="Q91" s="32" t="n"/>
      <c r="R91" s="27" t="n"/>
      <c r="S91" s="27" t="n"/>
      <c r="T91" s="27" t="n"/>
      <c r="U91" s="27" t="n"/>
    </row>
    <row r="92">
      <c r="A92" s="27" t="n"/>
      <c r="B92" s="15">
        <f>IFERROR(INDEX(Lists!$C$2:$C$21,MATCH(A92,Lists!$B$2:$B$21,0)),"")</f>
        <v/>
      </c>
      <c r="C92" s="27" t="n"/>
      <c r="D92" s="27" t="n"/>
      <c r="E92" s="27" t="n"/>
      <c r="F92" s="27" t="n"/>
      <c r="G92" s="27" t="n"/>
      <c r="H92" s="27" t="n"/>
      <c r="I92" s="28" t="n"/>
      <c r="J92" s="29" t="n"/>
      <c r="K92" s="30" t="n"/>
      <c r="L92" s="31">
        <f>I92*K92</f>
        <v/>
      </c>
      <c r="M92" s="30" t="n"/>
      <c r="N92" s="30" t="n"/>
      <c r="O92" s="31">
        <f>L92+M92+N92</f>
        <v/>
      </c>
      <c r="P92" s="29" t="n"/>
      <c r="Q92" s="32" t="n"/>
      <c r="R92" s="27" t="n"/>
      <c r="S92" s="27" t="n"/>
      <c r="T92" s="27" t="n"/>
      <c r="U92" s="27" t="n"/>
    </row>
    <row r="93">
      <c r="A93" s="27" t="n"/>
      <c r="B93" s="15">
        <f>IFERROR(INDEX(Lists!$C$2:$C$21,MATCH(A93,Lists!$B$2:$B$21,0)),"")</f>
        <v/>
      </c>
      <c r="C93" s="27" t="n"/>
      <c r="D93" s="27" t="n"/>
      <c r="E93" s="27" t="n"/>
      <c r="F93" s="27" t="n"/>
      <c r="G93" s="27" t="n"/>
      <c r="H93" s="27" t="n"/>
      <c r="I93" s="28" t="n"/>
      <c r="J93" s="29" t="n"/>
      <c r="K93" s="30" t="n"/>
      <c r="L93" s="31">
        <f>I93*K93</f>
        <v/>
      </c>
      <c r="M93" s="30" t="n"/>
      <c r="N93" s="30" t="n"/>
      <c r="O93" s="31">
        <f>L93+M93+N93</f>
        <v/>
      </c>
      <c r="P93" s="29" t="n"/>
      <c r="Q93" s="32" t="n"/>
      <c r="R93" s="27" t="n"/>
      <c r="S93" s="27" t="n"/>
      <c r="T93" s="27" t="n"/>
      <c r="U93" s="27" t="n"/>
    </row>
    <row r="94">
      <c r="A94" s="27" t="n"/>
      <c r="B94" s="15">
        <f>IFERROR(INDEX(Lists!$C$2:$C$21,MATCH(A94,Lists!$B$2:$B$21,0)),"")</f>
        <v/>
      </c>
      <c r="C94" s="27" t="n"/>
      <c r="D94" s="27" t="n"/>
      <c r="E94" s="27" t="n"/>
      <c r="F94" s="27" t="n"/>
      <c r="G94" s="27" t="n"/>
      <c r="H94" s="27" t="n"/>
      <c r="I94" s="28" t="n"/>
      <c r="J94" s="29" t="n"/>
      <c r="K94" s="30" t="n"/>
      <c r="L94" s="31">
        <f>I94*K94</f>
        <v/>
      </c>
      <c r="M94" s="30" t="n"/>
      <c r="N94" s="30" t="n"/>
      <c r="O94" s="31">
        <f>L94+M94+N94</f>
        <v/>
      </c>
      <c r="P94" s="29" t="n"/>
      <c r="Q94" s="32" t="n"/>
      <c r="R94" s="27" t="n"/>
      <c r="S94" s="27" t="n"/>
      <c r="T94" s="27" t="n"/>
      <c r="U94" s="27" t="n"/>
    </row>
    <row r="95">
      <c r="A95" s="27" t="n"/>
      <c r="B95" s="15">
        <f>IFERROR(INDEX(Lists!$C$2:$C$21,MATCH(A95,Lists!$B$2:$B$21,0)),"")</f>
        <v/>
      </c>
      <c r="C95" s="27" t="n"/>
      <c r="D95" s="27" t="n"/>
      <c r="E95" s="27" t="n"/>
      <c r="F95" s="27" t="n"/>
      <c r="G95" s="27" t="n"/>
      <c r="H95" s="27" t="n"/>
      <c r="I95" s="28" t="n"/>
      <c r="J95" s="29" t="n"/>
      <c r="K95" s="30" t="n"/>
      <c r="L95" s="31">
        <f>I95*K95</f>
        <v/>
      </c>
      <c r="M95" s="30" t="n"/>
      <c r="N95" s="30" t="n"/>
      <c r="O95" s="31">
        <f>L95+M95+N95</f>
        <v/>
      </c>
      <c r="P95" s="29" t="n"/>
      <c r="Q95" s="32" t="n"/>
      <c r="R95" s="27" t="n"/>
      <c r="S95" s="27" t="n"/>
      <c r="T95" s="27" t="n"/>
      <c r="U95" s="27" t="n"/>
    </row>
    <row r="96">
      <c r="A96" s="27" t="n"/>
      <c r="B96" s="15">
        <f>IFERROR(INDEX(Lists!$C$2:$C$21,MATCH(A96,Lists!$B$2:$B$21,0)),"")</f>
        <v/>
      </c>
      <c r="C96" s="27" t="n"/>
      <c r="D96" s="27" t="n"/>
      <c r="E96" s="27" t="n"/>
      <c r="F96" s="27" t="n"/>
      <c r="G96" s="27" t="n"/>
      <c r="H96" s="27" t="n"/>
      <c r="I96" s="28" t="n"/>
      <c r="J96" s="29" t="n"/>
      <c r="K96" s="30" t="n"/>
      <c r="L96" s="31">
        <f>I96*K96</f>
        <v/>
      </c>
      <c r="M96" s="30" t="n"/>
      <c r="N96" s="30" t="n"/>
      <c r="O96" s="31">
        <f>L96+M96+N96</f>
        <v/>
      </c>
      <c r="P96" s="29" t="n"/>
      <c r="Q96" s="32" t="n"/>
      <c r="R96" s="27" t="n"/>
      <c r="S96" s="27" t="n"/>
      <c r="T96" s="27" t="n"/>
      <c r="U96" s="27" t="n"/>
    </row>
    <row r="97">
      <c r="A97" s="27" t="n"/>
      <c r="B97" s="15">
        <f>IFERROR(INDEX(Lists!$C$2:$C$21,MATCH(A97,Lists!$B$2:$B$21,0)),"")</f>
        <v/>
      </c>
      <c r="C97" s="27" t="n"/>
      <c r="D97" s="27" t="n"/>
      <c r="E97" s="27" t="n"/>
      <c r="F97" s="27" t="n"/>
      <c r="G97" s="27" t="n"/>
      <c r="H97" s="27" t="n"/>
      <c r="I97" s="28" t="n"/>
      <c r="J97" s="29" t="n"/>
      <c r="K97" s="30" t="n"/>
      <c r="L97" s="31">
        <f>I97*K97</f>
        <v/>
      </c>
      <c r="M97" s="30" t="n"/>
      <c r="N97" s="30" t="n"/>
      <c r="O97" s="31">
        <f>L97+M97+N97</f>
        <v/>
      </c>
      <c r="P97" s="29" t="n"/>
      <c r="Q97" s="32" t="n"/>
      <c r="R97" s="27" t="n"/>
      <c r="S97" s="27" t="n"/>
      <c r="T97" s="27" t="n"/>
      <c r="U97" s="27" t="n"/>
    </row>
    <row r="98">
      <c r="A98" s="27" t="n"/>
      <c r="B98" s="15">
        <f>IFERROR(INDEX(Lists!$C$2:$C$21,MATCH(A98,Lists!$B$2:$B$21,0)),"")</f>
        <v/>
      </c>
      <c r="C98" s="27" t="n"/>
      <c r="D98" s="27" t="n"/>
      <c r="E98" s="27" t="n"/>
      <c r="F98" s="27" t="n"/>
      <c r="G98" s="27" t="n"/>
      <c r="H98" s="27" t="n"/>
      <c r="I98" s="28" t="n"/>
      <c r="J98" s="29" t="n"/>
      <c r="K98" s="30" t="n"/>
      <c r="L98" s="31">
        <f>I98*K98</f>
        <v/>
      </c>
      <c r="M98" s="30" t="n"/>
      <c r="N98" s="30" t="n"/>
      <c r="O98" s="31">
        <f>L98+M98+N98</f>
        <v/>
      </c>
      <c r="P98" s="29" t="n"/>
      <c r="Q98" s="32" t="n"/>
      <c r="R98" s="27" t="n"/>
      <c r="S98" s="27" t="n"/>
      <c r="T98" s="27" t="n"/>
      <c r="U98" s="27" t="n"/>
    </row>
    <row r="99">
      <c r="A99" s="27" t="n"/>
      <c r="B99" s="15">
        <f>IFERROR(INDEX(Lists!$C$2:$C$21,MATCH(A99,Lists!$B$2:$B$21,0)),"")</f>
        <v/>
      </c>
      <c r="C99" s="27" t="n"/>
      <c r="D99" s="27" t="n"/>
      <c r="E99" s="27" t="n"/>
      <c r="F99" s="27" t="n"/>
      <c r="G99" s="27" t="n"/>
      <c r="H99" s="27" t="n"/>
      <c r="I99" s="28" t="n"/>
      <c r="J99" s="29" t="n"/>
      <c r="K99" s="30" t="n"/>
      <c r="L99" s="31">
        <f>I99*K99</f>
        <v/>
      </c>
      <c r="M99" s="30" t="n"/>
      <c r="N99" s="30" t="n"/>
      <c r="O99" s="31">
        <f>L99+M99+N99</f>
        <v/>
      </c>
      <c r="P99" s="29" t="n"/>
      <c r="Q99" s="32" t="n"/>
      <c r="R99" s="27" t="n"/>
      <c r="S99" s="27" t="n"/>
      <c r="T99" s="27" t="n"/>
      <c r="U99" s="27" t="n"/>
    </row>
    <row r="100">
      <c r="A100" s="27" t="n"/>
      <c r="B100" s="15">
        <f>IFERROR(INDEX(Lists!$C$2:$C$21,MATCH(A100,Lists!$B$2:$B$21,0)),"")</f>
        <v/>
      </c>
      <c r="C100" s="27" t="n"/>
      <c r="D100" s="27" t="n"/>
      <c r="E100" s="27" t="n"/>
      <c r="F100" s="27" t="n"/>
      <c r="G100" s="27" t="n"/>
      <c r="H100" s="27" t="n"/>
      <c r="I100" s="28" t="n"/>
      <c r="J100" s="29" t="n"/>
      <c r="K100" s="30" t="n"/>
      <c r="L100" s="31">
        <f>I100*K100</f>
        <v/>
      </c>
      <c r="M100" s="30" t="n"/>
      <c r="N100" s="30" t="n"/>
      <c r="O100" s="31">
        <f>L100+M100+N100</f>
        <v/>
      </c>
      <c r="P100" s="29" t="n"/>
      <c r="Q100" s="32" t="n"/>
      <c r="R100" s="27" t="n"/>
      <c r="S100" s="27" t="n"/>
      <c r="T100" s="27" t="n"/>
      <c r="U100" s="27" t="n"/>
    </row>
    <row r="101">
      <c r="A101" s="27" t="n"/>
      <c r="B101" s="15">
        <f>IFERROR(INDEX(Lists!$C$2:$C$21,MATCH(A101,Lists!$B$2:$B$21,0)),"")</f>
        <v/>
      </c>
      <c r="C101" s="27" t="n"/>
      <c r="D101" s="27" t="n"/>
      <c r="E101" s="27" t="n"/>
      <c r="F101" s="27" t="n"/>
      <c r="G101" s="27" t="n"/>
      <c r="H101" s="27" t="n"/>
      <c r="I101" s="28" t="n"/>
      <c r="J101" s="29" t="n"/>
      <c r="K101" s="30" t="n"/>
      <c r="L101" s="31">
        <f>I101*K101</f>
        <v/>
      </c>
      <c r="M101" s="30" t="n"/>
      <c r="N101" s="30" t="n"/>
      <c r="O101" s="31">
        <f>L101+M101+N101</f>
        <v/>
      </c>
      <c r="P101" s="29" t="n"/>
      <c r="Q101" s="32" t="n"/>
      <c r="R101" s="27" t="n"/>
      <c r="S101" s="27" t="n"/>
      <c r="T101" s="27" t="n"/>
      <c r="U101" s="27" t="n"/>
    </row>
    <row r="102">
      <c r="A102" s="27" t="n"/>
      <c r="B102" s="15">
        <f>IFERROR(INDEX(Lists!$C$2:$C$21,MATCH(A102,Lists!$B$2:$B$21,0)),"")</f>
        <v/>
      </c>
      <c r="C102" s="27" t="n"/>
      <c r="D102" s="27" t="n"/>
      <c r="E102" s="27" t="n"/>
      <c r="F102" s="27" t="n"/>
      <c r="G102" s="27" t="n"/>
      <c r="H102" s="27" t="n"/>
      <c r="I102" s="28" t="n"/>
      <c r="J102" s="29" t="n"/>
      <c r="K102" s="30" t="n"/>
      <c r="L102" s="31">
        <f>I102*K102</f>
        <v/>
      </c>
      <c r="M102" s="30" t="n"/>
      <c r="N102" s="30" t="n"/>
      <c r="O102" s="31">
        <f>L102+M102+N102</f>
        <v/>
      </c>
      <c r="P102" s="29" t="n"/>
      <c r="Q102" s="32" t="n"/>
      <c r="R102" s="27" t="n"/>
      <c r="S102" s="27" t="n"/>
      <c r="T102" s="27" t="n"/>
      <c r="U102" s="27" t="n"/>
    </row>
    <row r="103">
      <c r="A103" s="27" t="n"/>
      <c r="B103" s="15">
        <f>IFERROR(INDEX(Lists!$C$2:$C$21,MATCH(A103,Lists!$B$2:$B$21,0)),"")</f>
        <v/>
      </c>
      <c r="C103" s="27" t="n"/>
      <c r="D103" s="27" t="n"/>
      <c r="E103" s="27" t="n"/>
      <c r="F103" s="27" t="n"/>
      <c r="G103" s="27" t="n"/>
      <c r="H103" s="27" t="n"/>
      <c r="I103" s="28" t="n"/>
      <c r="J103" s="29" t="n"/>
      <c r="K103" s="30" t="n"/>
      <c r="L103" s="31">
        <f>I103*K103</f>
        <v/>
      </c>
      <c r="M103" s="30" t="n"/>
      <c r="N103" s="30" t="n"/>
      <c r="O103" s="31">
        <f>L103+M103+N103</f>
        <v/>
      </c>
      <c r="P103" s="29" t="n"/>
      <c r="Q103" s="32" t="n"/>
      <c r="R103" s="27" t="n"/>
      <c r="S103" s="27" t="n"/>
      <c r="T103" s="27" t="n"/>
      <c r="U103" s="27" t="n"/>
    </row>
    <row r="104">
      <c r="A104" s="27" t="n"/>
      <c r="B104" s="15">
        <f>IFERROR(INDEX(Lists!$C$2:$C$21,MATCH(A104,Lists!$B$2:$B$21,0)),"")</f>
        <v/>
      </c>
      <c r="C104" s="27" t="n"/>
      <c r="D104" s="27" t="n"/>
      <c r="E104" s="27" t="n"/>
      <c r="F104" s="27" t="n"/>
      <c r="G104" s="27" t="n"/>
      <c r="H104" s="27" t="n"/>
      <c r="I104" s="28" t="n"/>
      <c r="J104" s="29" t="n"/>
      <c r="K104" s="30" t="n"/>
      <c r="L104" s="31">
        <f>I104*K104</f>
        <v/>
      </c>
      <c r="M104" s="30" t="n"/>
      <c r="N104" s="30" t="n"/>
      <c r="O104" s="31">
        <f>L104+M104+N104</f>
        <v/>
      </c>
      <c r="P104" s="29" t="n"/>
      <c r="Q104" s="32" t="n"/>
      <c r="R104" s="27" t="n"/>
      <c r="S104" s="27" t="n"/>
      <c r="T104" s="27" t="n"/>
      <c r="U104" s="27" t="n"/>
    </row>
    <row r="105">
      <c r="A105" s="27" t="n"/>
      <c r="B105" s="15">
        <f>IFERROR(INDEX(Lists!$C$2:$C$21,MATCH(A105,Lists!$B$2:$B$21,0)),"")</f>
        <v/>
      </c>
      <c r="C105" s="27" t="n"/>
      <c r="D105" s="27" t="n"/>
      <c r="E105" s="27" t="n"/>
      <c r="F105" s="27" t="n"/>
      <c r="G105" s="27" t="n"/>
      <c r="H105" s="27" t="n"/>
      <c r="I105" s="28" t="n"/>
      <c r="J105" s="29" t="n"/>
      <c r="K105" s="30" t="n"/>
      <c r="L105" s="31">
        <f>I105*K105</f>
        <v/>
      </c>
      <c r="M105" s="30" t="n"/>
      <c r="N105" s="30" t="n"/>
      <c r="O105" s="31">
        <f>L105+M105+N105</f>
        <v/>
      </c>
      <c r="P105" s="29" t="n"/>
      <c r="Q105" s="32" t="n"/>
      <c r="R105" s="27" t="n"/>
      <c r="S105" s="27" t="n"/>
      <c r="T105" s="27" t="n"/>
      <c r="U105" s="27" t="n"/>
    </row>
    <row r="106">
      <c r="A106" s="27" t="n"/>
      <c r="B106" s="15">
        <f>IFERROR(INDEX(Lists!$C$2:$C$21,MATCH(A106,Lists!$B$2:$B$21,0)),"")</f>
        <v/>
      </c>
      <c r="C106" s="27" t="n"/>
      <c r="D106" s="27" t="n"/>
      <c r="E106" s="27" t="n"/>
      <c r="F106" s="27" t="n"/>
      <c r="G106" s="27" t="n"/>
      <c r="H106" s="27" t="n"/>
      <c r="I106" s="28" t="n"/>
      <c r="J106" s="29" t="n"/>
      <c r="K106" s="30" t="n"/>
      <c r="L106" s="31">
        <f>I106*K106</f>
        <v/>
      </c>
      <c r="M106" s="30" t="n"/>
      <c r="N106" s="30" t="n"/>
      <c r="O106" s="31">
        <f>L106+M106+N106</f>
        <v/>
      </c>
      <c r="P106" s="29" t="n"/>
      <c r="Q106" s="32" t="n"/>
      <c r="R106" s="27" t="n"/>
      <c r="S106" s="27" t="n"/>
      <c r="T106" s="27" t="n"/>
      <c r="U106" s="27" t="n"/>
    </row>
    <row r="107">
      <c r="A107" s="27" t="n"/>
      <c r="B107" s="15">
        <f>IFERROR(INDEX(Lists!$C$2:$C$21,MATCH(A107,Lists!$B$2:$B$21,0)),"")</f>
        <v/>
      </c>
      <c r="C107" s="27" t="n"/>
      <c r="D107" s="27" t="n"/>
      <c r="E107" s="27" t="n"/>
      <c r="F107" s="27" t="n"/>
      <c r="G107" s="27" t="n"/>
      <c r="H107" s="27" t="n"/>
      <c r="I107" s="28" t="n"/>
      <c r="J107" s="29" t="n"/>
      <c r="K107" s="30" t="n"/>
      <c r="L107" s="31">
        <f>I107*K107</f>
        <v/>
      </c>
      <c r="M107" s="30" t="n"/>
      <c r="N107" s="30" t="n"/>
      <c r="O107" s="31">
        <f>L107+M107+N107</f>
        <v/>
      </c>
      <c r="P107" s="29" t="n"/>
      <c r="Q107" s="32" t="n"/>
      <c r="R107" s="27" t="n"/>
      <c r="S107" s="27" t="n"/>
      <c r="T107" s="27" t="n"/>
      <c r="U107" s="27" t="n"/>
    </row>
    <row r="108">
      <c r="A108" s="27" t="n"/>
      <c r="B108" s="15">
        <f>IFERROR(INDEX(Lists!$C$2:$C$21,MATCH(A108,Lists!$B$2:$B$21,0)),"")</f>
        <v/>
      </c>
      <c r="C108" s="27" t="n"/>
      <c r="D108" s="27" t="n"/>
      <c r="E108" s="27" t="n"/>
      <c r="F108" s="27" t="n"/>
      <c r="G108" s="27" t="n"/>
      <c r="H108" s="27" t="n"/>
      <c r="I108" s="28" t="n"/>
      <c r="J108" s="29" t="n"/>
      <c r="K108" s="30" t="n"/>
      <c r="L108" s="31">
        <f>I108*K108</f>
        <v/>
      </c>
      <c r="M108" s="30" t="n"/>
      <c r="N108" s="30" t="n"/>
      <c r="O108" s="31">
        <f>L108+M108+N108</f>
        <v/>
      </c>
      <c r="P108" s="29" t="n"/>
      <c r="Q108" s="32" t="n"/>
      <c r="R108" s="27" t="n"/>
      <c r="S108" s="27" t="n"/>
      <c r="T108" s="27" t="n"/>
      <c r="U108" s="27" t="n"/>
    </row>
    <row r="109">
      <c r="A109" s="27" t="n"/>
      <c r="B109" s="15">
        <f>IFERROR(INDEX(Lists!$C$2:$C$21,MATCH(A109,Lists!$B$2:$B$21,0)),"")</f>
        <v/>
      </c>
      <c r="C109" s="27" t="n"/>
      <c r="D109" s="27" t="n"/>
      <c r="E109" s="27" t="n"/>
      <c r="F109" s="27" t="n"/>
      <c r="G109" s="27" t="n"/>
      <c r="H109" s="27" t="n"/>
      <c r="I109" s="28" t="n"/>
      <c r="J109" s="29" t="n"/>
      <c r="K109" s="30" t="n"/>
      <c r="L109" s="31">
        <f>I109*K109</f>
        <v/>
      </c>
      <c r="M109" s="30" t="n"/>
      <c r="N109" s="30" t="n"/>
      <c r="O109" s="31">
        <f>L109+M109+N109</f>
        <v/>
      </c>
      <c r="P109" s="29" t="n"/>
      <c r="Q109" s="32" t="n"/>
      <c r="R109" s="27" t="n"/>
      <c r="S109" s="27" t="n"/>
      <c r="T109" s="27" t="n"/>
      <c r="U109" s="27" t="n"/>
    </row>
    <row r="110">
      <c r="A110" s="27" t="n"/>
      <c r="B110" s="15">
        <f>IFERROR(INDEX(Lists!$C$2:$C$21,MATCH(A110,Lists!$B$2:$B$21,0)),"")</f>
        <v/>
      </c>
      <c r="C110" s="27" t="n"/>
      <c r="D110" s="27" t="n"/>
      <c r="E110" s="27" t="n"/>
      <c r="F110" s="27" t="n"/>
      <c r="G110" s="27" t="n"/>
      <c r="H110" s="27" t="n"/>
      <c r="I110" s="28" t="n"/>
      <c r="J110" s="29" t="n"/>
      <c r="K110" s="30" t="n"/>
      <c r="L110" s="31">
        <f>I110*K110</f>
        <v/>
      </c>
      <c r="M110" s="30" t="n"/>
      <c r="N110" s="30" t="n"/>
      <c r="O110" s="31">
        <f>L110+M110+N110</f>
        <v/>
      </c>
      <c r="P110" s="29" t="n"/>
      <c r="Q110" s="32" t="n"/>
      <c r="R110" s="27" t="n"/>
      <c r="S110" s="27" t="n"/>
      <c r="T110" s="27" t="n"/>
      <c r="U110" s="27" t="n"/>
    </row>
    <row r="111">
      <c r="A111" s="27" t="n"/>
      <c r="B111" s="15">
        <f>IFERROR(INDEX(Lists!$C$2:$C$21,MATCH(A111,Lists!$B$2:$B$21,0)),"")</f>
        <v/>
      </c>
      <c r="C111" s="27" t="n"/>
      <c r="D111" s="27" t="n"/>
      <c r="E111" s="27" t="n"/>
      <c r="F111" s="27" t="n"/>
      <c r="G111" s="27" t="n"/>
      <c r="H111" s="27" t="n"/>
      <c r="I111" s="28" t="n"/>
      <c r="J111" s="29" t="n"/>
      <c r="K111" s="30" t="n"/>
      <c r="L111" s="31">
        <f>I111*K111</f>
        <v/>
      </c>
      <c r="M111" s="30" t="n"/>
      <c r="N111" s="30" t="n"/>
      <c r="O111" s="31">
        <f>L111+M111+N111</f>
        <v/>
      </c>
      <c r="P111" s="29" t="n"/>
      <c r="Q111" s="32" t="n"/>
      <c r="R111" s="27" t="n"/>
      <c r="S111" s="27" t="n"/>
      <c r="T111" s="27" t="n"/>
      <c r="U111" s="27" t="n"/>
    </row>
    <row r="112">
      <c r="A112" s="27" t="n"/>
      <c r="B112" s="15">
        <f>IFERROR(INDEX(Lists!$C$2:$C$21,MATCH(A112,Lists!$B$2:$B$21,0)),"")</f>
        <v/>
      </c>
      <c r="C112" s="27" t="n"/>
      <c r="D112" s="27" t="n"/>
      <c r="E112" s="27" t="n"/>
      <c r="F112" s="27" t="n"/>
      <c r="G112" s="27" t="n"/>
      <c r="H112" s="27" t="n"/>
      <c r="I112" s="28" t="n"/>
      <c r="J112" s="29" t="n"/>
      <c r="K112" s="30" t="n"/>
      <c r="L112" s="31">
        <f>I112*K112</f>
        <v/>
      </c>
      <c r="M112" s="30" t="n"/>
      <c r="N112" s="30" t="n"/>
      <c r="O112" s="31">
        <f>L112+M112+N112</f>
        <v/>
      </c>
      <c r="P112" s="29" t="n"/>
      <c r="Q112" s="32" t="n"/>
      <c r="R112" s="27" t="n"/>
      <c r="S112" s="27" t="n"/>
      <c r="T112" s="27" t="n"/>
      <c r="U112" s="27" t="n"/>
    </row>
    <row r="113">
      <c r="A113" s="27" t="n"/>
      <c r="B113" s="15">
        <f>IFERROR(INDEX(Lists!$C$2:$C$21,MATCH(A113,Lists!$B$2:$B$21,0)),"")</f>
        <v/>
      </c>
      <c r="C113" s="27" t="n"/>
      <c r="D113" s="27" t="n"/>
      <c r="E113" s="27" t="n"/>
      <c r="F113" s="27" t="n"/>
      <c r="G113" s="27" t="n"/>
      <c r="H113" s="27" t="n"/>
      <c r="I113" s="28" t="n"/>
      <c r="J113" s="29" t="n"/>
      <c r="K113" s="30" t="n"/>
      <c r="L113" s="31">
        <f>I113*K113</f>
        <v/>
      </c>
      <c r="M113" s="30" t="n"/>
      <c r="N113" s="30" t="n"/>
      <c r="O113" s="31">
        <f>L113+M113+N113</f>
        <v/>
      </c>
      <c r="P113" s="29" t="n"/>
      <c r="Q113" s="32" t="n"/>
      <c r="R113" s="27" t="n"/>
      <c r="S113" s="27" t="n"/>
      <c r="T113" s="27" t="n"/>
      <c r="U113" s="27" t="n"/>
    </row>
    <row r="114">
      <c r="A114" s="27" t="n"/>
      <c r="B114" s="15">
        <f>IFERROR(INDEX(Lists!$C$2:$C$21,MATCH(A114,Lists!$B$2:$B$21,0)),"")</f>
        <v/>
      </c>
      <c r="C114" s="27" t="n"/>
      <c r="D114" s="27" t="n"/>
      <c r="E114" s="27" t="n"/>
      <c r="F114" s="27" t="n"/>
      <c r="G114" s="27" t="n"/>
      <c r="H114" s="27" t="n"/>
      <c r="I114" s="28" t="n"/>
      <c r="J114" s="29" t="n"/>
      <c r="K114" s="30" t="n"/>
      <c r="L114" s="31">
        <f>I114*K114</f>
        <v/>
      </c>
      <c r="M114" s="30" t="n"/>
      <c r="N114" s="30" t="n"/>
      <c r="O114" s="31">
        <f>L114+M114+N114</f>
        <v/>
      </c>
      <c r="P114" s="29" t="n"/>
      <c r="Q114" s="32" t="n"/>
      <c r="R114" s="27" t="n"/>
      <c r="S114" s="27" t="n"/>
      <c r="T114" s="27" t="n"/>
      <c r="U114" s="27" t="n"/>
    </row>
    <row r="115">
      <c r="A115" s="27" t="n"/>
      <c r="B115" s="15">
        <f>IFERROR(INDEX(Lists!$C$2:$C$21,MATCH(A115,Lists!$B$2:$B$21,0)),"")</f>
        <v/>
      </c>
      <c r="C115" s="27" t="n"/>
      <c r="D115" s="27" t="n"/>
      <c r="E115" s="27" t="n"/>
      <c r="F115" s="27" t="n"/>
      <c r="G115" s="27" t="n"/>
      <c r="H115" s="27" t="n"/>
      <c r="I115" s="28" t="n"/>
      <c r="J115" s="29" t="n"/>
      <c r="K115" s="30" t="n"/>
      <c r="L115" s="31">
        <f>I115*K115</f>
        <v/>
      </c>
      <c r="M115" s="30" t="n"/>
      <c r="N115" s="30" t="n"/>
      <c r="O115" s="31">
        <f>L115+M115+N115</f>
        <v/>
      </c>
      <c r="P115" s="29" t="n"/>
      <c r="Q115" s="32" t="n"/>
      <c r="R115" s="27" t="n"/>
      <c r="S115" s="27" t="n"/>
      <c r="T115" s="27" t="n"/>
      <c r="U115" s="27" t="n"/>
    </row>
    <row r="116">
      <c r="A116" s="27" t="n"/>
      <c r="B116" s="15">
        <f>IFERROR(INDEX(Lists!$C$2:$C$21,MATCH(A116,Lists!$B$2:$B$21,0)),"")</f>
        <v/>
      </c>
      <c r="C116" s="27" t="n"/>
      <c r="D116" s="27" t="n"/>
      <c r="E116" s="27" t="n"/>
      <c r="F116" s="27" t="n"/>
      <c r="G116" s="27" t="n"/>
      <c r="H116" s="27" t="n"/>
      <c r="I116" s="28" t="n"/>
      <c r="J116" s="29" t="n"/>
      <c r="K116" s="30" t="n"/>
      <c r="L116" s="31">
        <f>I116*K116</f>
        <v/>
      </c>
      <c r="M116" s="30" t="n"/>
      <c r="N116" s="30" t="n"/>
      <c r="O116" s="31">
        <f>L116+M116+N116</f>
        <v/>
      </c>
      <c r="P116" s="29" t="n"/>
      <c r="Q116" s="32" t="n"/>
      <c r="R116" s="27" t="n"/>
      <c r="S116" s="27" t="n"/>
      <c r="T116" s="27" t="n"/>
      <c r="U116" s="27" t="n"/>
    </row>
    <row r="117">
      <c r="A117" s="27" t="n"/>
      <c r="B117" s="15">
        <f>IFERROR(INDEX(Lists!$C$2:$C$21,MATCH(A117,Lists!$B$2:$B$21,0)),"")</f>
        <v/>
      </c>
      <c r="C117" s="27" t="n"/>
      <c r="D117" s="27" t="n"/>
      <c r="E117" s="27" t="n"/>
      <c r="F117" s="27" t="n"/>
      <c r="G117" s="27" t="n"/>
      <c r="H117" s="27" t="n"/>
      <c r="I117" s="28" t="n"/>
      <c r="J117" s="29" t="n"/>
      <c r="K117" s="30" t="n"/>
      <c r="L117" s="31">
        <f>I117*K117</f>
        <v/>
      </c>
      <c r="M117" s="30" t="n"/>
      <c r="N117" s="30" t="n"/>
      <c r="O117" s="31">
        <f>L117+M117+N117</f>
        <v/>
      </c>
      <c r="P117" s="29" t="n"/>
      <c r="Q117" s="32" t="n"/>
      <c r="R117" s="27" t="n"/>
      <c r="S117" s="27" t="n"/>
      <c r="T117" s="27" t="n"/>
      <c r="U117" s="27" t="n"/>
    </row>
    <row r="118">
      <c r="A118" s="27" t="n"/>
      <c r="B118" s="15">
        <f>IFERROR(INDEX(Lists!$C$2:$C$21,MATCH(A118,Lists!$B$2:$B$21,0)),"")</f>
        <v/>
      </c>
      <c r="C118" s="27" t="n"/>
      <c r="D118" s="27" t="n"/>
      <c r="E118" s="27" t="n"/>
      <c r="F118" s="27" t="n"/>
      <c r="G118" s="27" t="n"/>
      <c r="H118" s="27" t="n"/>
      <c r="I118" s="28" t="n"/>
      <c r="J118" s="29" t="n"/>
      <c r="K118" s="30" t="n"/>
      <c r="L118" s="31">
        <f>I118*K118</f>
        <v/>
      </c>
      <c r="M118" s="30" t="n"/>
      <c r="N118" s="30" t="n"/>
      <c r="O118" s="31">
        <f>L118+M118+N118</f>
        <v/>
      </c>
      <c r="P118" s="29" t="n"/>
      <c r="Q118" s="32" t="n"/>
      <c r="R118" s="27" t="n"/>
      <c r="S118" s="27" t="n"/>
      <c r="T118" s="27" t="n"/>
      <c r="U118" s="27" t="n"/>
    </row>
    <row r="119">
      <c r="A119" s="27" t="n"/>
      <c r="B119" s="15">
        <f>IFERROR(INDEX(Lists!$C$2:$C$21,MATCH(A119,Lists!$B$2:$B$21,0)),"")</f>
        <v/>
      </c>
      <c r="C119" s="27" t="n"/>
      <c r="D119" s="27" t="n"/>
      <c r="E119" s="27" t="n"/>
      <c r="F119" s="27" t="n"/>
      <c r="G119" s="27" t="n"/>
      <c r="H119" s="27" t="n"/>
      <c r="I119" s="28" t="n"/>
      <c r="J119" s="29" t="n"/>
      <c r="K119" s="30" t="n"/>
      <c r="L119" s="31">
        <f>I119*K119</f>
        <v/>
      </c>
      <c r="M119" s="30" t="n"/>
      <c r="N119" s="30" t="n"/>
      <c r="O119" s="31">
        <f>L119+M119+N119</f>
        <v/>
      </c>
      <c r="P119" s="29" t="n"/>
      <c r="Q119" s="32" t="n"/>
      <c r="R119" s="27" t="n"/>
      <c r="S119" s="27" t="n"/>
      <c r="T119" s="27" t="n"/>
      <c r="U119" s="27" t="n"/>
    </row>
    <row r="120">
      <c r="A120" s="27" t="n"/>
      <c r="B120" s="15">
        <f>IFERROR(INDEX(Lists!$C$2:$C$21,MATCH(A120,Lists!$B$2:$B$21,0)),"")</f>
        <v/>
      </c>
      <c r="C120" s="27" t="n"/>
      <c r="D120" s="27" t="n"/>
      <c r="E120" s="27" t="n"/>
      <c r="F120" s="27" t="n"/>
      <c r="G120" s="27" t="n"/>
      <c r="H120" s="27" t="n"/>
      <c r="I120" s="28" t="n"/>
      <c r="J120" s="29" t="n"/>
      <c r="K120" s="30" t="n"/>
      <c r="L120" s="31">
        <f>I120*K120</f>
        <v/>
      </c>
      <c r="M120" s="30" t="n"/>
      <c r="N120" s="30" t="n"/>
      <c r="O120" s="31">
        <f>L120+M120+N120</f>
        <v/>
      </c>
      <c r="P120" s="29" t="n"/>
      <c r="Q120" s="32" t="n"/>
      <c r="R120" s="27" t="n"/>
      <c r="S120" s="27" t="n"/>
      <c r="T120" s="27" t="n"/>
      <c r="U120" s="27" t="n"/>
    </row>
    <row r="121">
      <c r="A121" s="27" t="n"/>
      <c r="B121" s="15">
        <f>IFERROR(INDEX(Lists!$C$2:$C$21,MATCH(A121,Lists!$B$2:$B$21,0)),"")</f>
        <v/>
      </c>
      <c r="C121" s="27" t="n"/>
      <c r="D121" s="27" t="n"/>
      <c r="E121" s="27" t="n"/>
      <c r="F121" s="27" t="n"/>
      <c r="G121" s="27" t="n"/>
      <c r="H121" s="27" t="n"/>
      <c r="I121" s="28" t="n"/>
      <c r="J121" s="29" t="n"/>
      <c r="K121" s="30" t="n"/>
      <c r="L121" s="31">
        <f>I121*K121</f>
        <v/>
      </c>
      <c r="M121" s="30" t="n"/>
      <c r="N121" s="30" t="n"/>
      <c r="O121" s="31">
        <f>L121+M121+N121</f>
        <v/>
      </c>
      <c r="P121" s="29" t="n"/>
      <c r="Q121" s="32" t="n"/>
      <c r="R121" s="27" t="n"/>
      <c r="S121" s="27" t="n"/>
      <c r="T121" s="27" t="n"/>
      <c r="U121" s="27" t="n"/>
    </row>
    <row r="122">
      <c r="A122" s="27" t="n"/>
      <c r="B122" s="15">
        <f>IFERROR(INDEX(Lists!$C$2:$C$21,MATCH(A122,Lists!$B$2:$B$21,0)),"")</f>
        <v/>
      </c>
      <c r="C122" s="27" t="n"/>
      <c r="D122" s="27" t="n"/>
      <c r="E122" s="27" t="n"/>
      <c r="F122" s="27" t="n"/>
      <c r="G122" s="27" t="n"/>
      <c r="H122" s="27" t="n"/>
      <c r="I122" s="28" t="n"/>
      <c r="J122" s="29" t="n"/>
      <c r="K122" s="30" t="n"/>
      <c r="L122" s="31">
        <f>I122*K122</f>
        <v/>
      </c>
      <c r="M122" s="30" t="n"/>
      <c r="N122" s="30" t="n"/>
      <c r="O122" s="31">
        <f>L122+M122+N122</f>
        <v/>
      </c>
      <c r="P122" s="29" t="n"/>
      <c r="Q122" s="32" t="n"/>
      <c r="R122" s="27" t="n"/>
      <c r="S122" s="27" t="n"/>
      <c r="T122" s="27" t="n"/>
      <c r="U122" s="27" t="n"/>
    </row>
    <row r="123">
      <c r="A123" s="27" t="n"/>
      <c r="B123" s="15">
        <f>IFERROR(INDEX(Lists!$C$2:$C$21,MATCH(A123,Lists!$B$2:$B$21,0)),"")</f>
        <v/>
      </c>
      <c r="C123" s="27" t="n"/>
      <c r="D123" s="27" t="n"/>
      <c r="E123" s="27" t="n"/>
      <c r="F123" s="27" t="n"/>
      <c r="G123" s="27" t="n"/>
      <c r="H123" s="27" t="n"/>
      <c r="I123" s="28" t="n"/>
      <c r="J123" s="29" t="n"/>
      <c r="K123" s="30" t="n"/>
      <c r="L123" s="31">
        <f>I123*K123</f>
        <v/>
      </c>
      <c r="M123" s="30" t="n"/>
      <c r="N123" s="30" t="n"/>
      <c r="O123" s="31">
        <f>L123+M123+N123</f>
        <v/>
      </c>
      <c r="P123" s="29" t="n"/>
      <c r="Q123" s="32" t="n"/>
      <c r="R123" s="27" t="n"/>
      <c r="S123" s="27" t="n"/>
      <c r="T123" s="27" t="n"/>
      <c r="U123" s="27" t="n"/>
    </row>
    <row r="124">
      <c r="A124" s="27" t="n"/>
      <c r="B124" s="15">
        <f>IFERROR(INDEX(Lists!$C$2:$C$21,MATCH(A124,Lists!$B$2:$B$21,0)),"")</f>
        <v/>
      </c>
      <c r="C124" s="27" t="n"/>
      <c r="D124" s="27" t="n"/>
      <c r="E124" s="27" t="n"/>
      <c r="F124" s="27" t="n"/>
      <c r="G124" s="27" t="n"/>
      <c r="H124" s="27" t="n"/>
      <c r="I124" s="28" t="n"/>
      <c r="J124" s="29" t="n"/>
      <c r="K124" s="30" t="n"/>
      <c r="L124" s="31">
        <f>I124*K124</f>
        <v/>
      </c>
      <c r="M124" s="30" t="n"/>
      <c r="N124" s="30" t="n"/>
      <c r="O124" s="31">
        <f>L124+M124+N124</f>
        <v/>
      </c>
      <c r="P124" s="29" t="n"/>
      <c r="Q124" s="32" t="n"/>
      <c r="R124" s="27" t="n"/>
      <c r="S124" s="27" t="n"/>
      <c r="T124" s="27" t="n"/>
      <c r="U124" s="27" t="n"/>
    </row>
    <row r="125">
      <c r="A125" s="27" t="n"/>
      <c r="B125" s="15">
        <f>IFERROR(INDEX(Lists!$C$2:$C$21,MATCH(A125,Lists!$B$2:$B$21,0)),"")</f>
        <v/>
      </c>
      <c r="C125" s="27" t="n"/>
      <c r="D125" s="27" t="n"/>
      <c r="E125" s="27" t="n"/>
      <c r="F125" s="27" t="n"/>
      <c r="G125" s="27" t="n"/>
      <c r="H125" s="27" t="n"/>
      <c r="I125" s="28" t="n"/>
      <c r="J125" s="29" t="n"/>
      <c r="K125" s="30" t="n"/>
      <c r="L125" s="31">
        <f>I125*K125</f>
        <v/>
      </c>
      <c r="M125" s="30" t="n"/>
      <c r="N125" s="30" t="n"/>
      <c r="O125" s="31">
        <f>L125+M125+N125</f>
        <v/>
      </c>
      <c r="P125" s="29" t="n"/>
      <c r="Q125" s="32" t="n"/>
      <c r="R125" s="27" t="n"/>
      <c r="S125" s="27" t="n"/>
      <c r="T125" s="27" t="n"/>
      <c r="U125" s="27" t="n"/>
    </row>
    <row r="126">
      <c r="A126" s="27" t="n"/>
      <c r="B126" s="15">
        <f>IFERROR(INDEX(Lists!$C$2:$C$21,MATCH(A126,Lists!$B$2:$B$21,0)),"")</f>
        <v/>
      </c>
      <c r="C126" s="27" t="n"/>
      <c r="D126" s="27" t="n"/>
      <c r="E126" s="27" t="n"/>
      <c r="F126" s="27" t="n"/>
      <c r="G126" s="27" t="n"/>
      <c r="H126" s="27" t="n"/>
      <c r="I126" s="28" t="n"/>
      <c r="J126" s="29" t="n"/>
      <c r="K126" s="30" t="n"/>
      <c r="L126" s="31">
        <f>I126*K126</f>
        <v/>
      </c>
      <c r="M126" s="30" t="n"/>
      <c r="N126" s="30" t="n"/>
      <c r="O126" s="31">
        <f>L126+M126+N126</f>
        <v/>
      </c>
      <c r="P126" s="29" t="n"/>
      <c r="Q126" s="32" t="n"/>
      <c r="R126" s="27" t="n"/>
      <c r="S126" s="27" t="n"/>
      <c r="T126" s="27" t="n"/>
      <c r="U126" s="27" t="n"/>
    </row>
    <row r="127">
      <c r="A127" s="27" t="n"/>
      <c r="B127" s="15">
        <f>IFERROR(INDEX(Lists!$C$2:$C$21,MATCH(A127,Lists!$B$2:$B$21,0)),"")</f>
        <v/>
      </c>
      <c r="C127" s="27" t="n"/>
      <c r="D127" s="27" t="n"/>
      <c r="E127" s="27" t="n"/>
      <c r="F127" s="27" t="n"/>
      <c r="G127" s="27" t="n"/>
      <c r="H127" s="27" t="n"/>
      <c r="I127" s="28" t="n"/>
      <c r="J127" s="29" t="n"/>
      <c r="K127" s="30" t="n"/>
      <c r="L127" s="31">
        <f>I127*K127</f>
        <v/>
      </c>
      <c r="M127" s="30" t="n"/>
      <c r="N127" s="30" t="n"/>
      <c r="O127" s="31">
        <f>L127+M127+N127</f>
        <v/>
      </c>
      <c r="P127" s="29" t="n"/>
      <c r="Q127" s="32" t="n"/>
      <c r="R127" s="27" t="n"/>
      <c r="S127" s="27" t="n"/>
      <c r="T127" s="27" t="n"/>
      <c r="U127" s="27" t="n"/>
    </row>
    <row r="128">
      <c r="A128" s="27" t="n"/>
      <c r="B128" s="15">
        <f>IFERROR(INDEX(Lists!$C$2:$C$21,MATCH(A128,Lists!$B$2:$B$21,0)),"")</f>
        <v/>
      </c>
      <c r="C128" s="27" t="n"/>
      <c r="D128" s="27" t="n"/>
      <c r="E128" s="27" t="n"/>
      <c r="F128" s="27" t="n"/>
      <c r="G128" s="27" t="n"/>
      <c r="H128" s="27" t="n"/>
      <c r="I128" s="28" t="n"/>
      <c r="J128" s="29" t="n"/>
      <c r="K128" s="30" t="n"/>
      <c r="L128" s="31">
        <f>I128*K128</f>
        <v/>
      </c>
      <c r="M128" s="30" t="n"/>
      <c r="N128" s="30" t="n"/>
      <c r="O128" s="31">
        <f>L128+M128+N128</f>
        <v/>
      </c>
      <c r="P128" s="29" t="n"/>
      <c r="Q128" s="32" t="n"/>
      <c r="R128" s="27" t="n"/>
      <c r="S128" s="27" t="n"/>
      <c r="T128" s="27" t="n"/>
      <c r="U128" s="27" t="n"/>
    </row>
    <row r="129">
      <c r="A129" s="27" t="n"/>
      <c r="B129" s="15">
        <f>IFERROR(INDEX(Lists!$C$2:$C$21,MATCH(A129,Lists!$B$2:$B$21,0)),"")</f>
        <v/>
      </c>
      <c r="C129" s="27" t="n"/>
      <c r="D129" s="27" t="n"/>
      <c r="E129" s="27" t="n"/>
      <c r="F129" s="27" t="n"/>
      <c r="G129" s="27" t="n"/>
      <c r="H129" s="27" t="n"/>
      <c r="I129" s="28" t="n"/>
      <c r="J129" s="29" t="n"/>
      <c r="K129" s="30" t="n"/>
      <c r="L129" s="31">
        <f>I129*K129</f>
        <v/>
      </c>
      <c r="M129" s="30" t="n"/>
      <c r="N129" s="30" t="n"/>
      <c r="O129" s="31">
        <f>L129+M129+N129</f>
        <v/>
      </c>
      <c r="P129" s="29" t="n"/>
      <c r="Q129" s="32" t="n"/>
      <c r="R129" s="27" t="n"/>
      <c r="S129" s="27" t="n"/>
      <c r="T129" s="27" t="n"/>
      <c r="U129" s="27" t="n"/>
    </row>
    <row r="130">
      <c r="A130" s="27" t="n"/>
      <c r="B130" s="15">
        <f>IFERROR(INDEX(Lists!$C$2:$C$21,MATCH(A130,Lists!$B$2:$B$21,0)),"")</f>
        <v/>
      </c>
      <c r="C130" s="27" t="n"/>
      <c r="D130" s="27" t="n"/>
      <c r="E130" s="27" t="n"/>
      <c r="F130" s="27" t="n"/>
      <c r="G130" s="27" t="n"/>
      <c r="H130" s="27" t="n"/>
      <c r="I130" s="28" t="n"/>
      <c r="J130" s="29" t="n"/>
      <c r="K130" s="30" t="n"/>
      <c r="L130" s="31">
        <f>I130*K130</f>
        <v/>
      </c>
      <c r="M130" s="30" t="n"/>
      <c r="N130" s="30" t="n"/>
      <c r="O130" s="31">
        <f>L130+M130+N130</f>
        <v/>
      </c>
      <c r="P130" s="29" t="n"/>
      <c r="Q130" s="32" t="n"/>
      <c r="R130" s="27" t="n"/>
      <c r="S130" s="27" t="n"/>
      <c r="T130" s="27" t="n"/>
      <c r="U130" s="27" t="n"/>
    </row>
    <row r="131">
      <c r="A131" s="27" t="n"/>
      <c r="B131" s="15">
        <f>IFERROR(INDEX(Lists!$C$2:$C$21,MATCH(A131,Lists!$B$2:$B$21,0)),"")</f>
        <v/>
      </c>
      <c r="C131" s="27" t="n"/>
      <c r="D131" s="27" t="n"/>
      <c r="E131" s="27" t="n"/>
      <c r="F131" s="27" t="n"/>
      <c r="G131" s="27" t="n"/>
      <c r="H131" s="27" t="n"/>
      <c r="I131" s="28" t="n"/>
      <c r="J131" s="29" t="n"/>
      <c r="K131" s="30" t="n"/>
      <c r="L131" s="31">
        <f>I131*K131</f>
        <v/>
      </c>
      <c r="M131" s="30" t="n"/>
      <c r="N131" s="30" t="n"/>
      <c r="O131" s="31">
        <f>L131+M131+N131</f>
        <v/>
      </c>
      <c r="P131" s="29" t="n"/>
      <c r="Q131" s="32" t="n"/>
      <c r="R131" s="27" t="n"/>
      <c r="S131" s="27" t="n"/>
      <c r="T131" s="27" t="n"/>
      <c r="U131" s="27" t="n"/>
    </row>
    <row r="132">
      <c r="A132" s="27" t="n"/>
      <c r="B132" s="15">
        <f>IFERROR(INDEX(Lists!$C$2:$C$21,MATCH(A132,Lists!$B$2:$B$21,0)),"")</f>
        <v/>
      </c>
      <c r="C132" s="27" t="n"/>
      <c r="D132" s="27" t="n"/>
      <c r="E132" s="27" t="n"/>
      <c r="F132" s="27" t="n"/>
      <c r="G132" s="27" t="n"/>
      <c r="H132" s="27" t="n"/>
      <c r="I132" s="28" t="n"/>
      <c r="J132" s="29" t="n"/>
      <c r="K132" s="30" t="n"/>
      <c r="L132" s="31">
        <f>I132*K132</f>
        <v/>
      </c>
      <c r="M132" s="30" t="n"/>
      <c r="N132" s="30" t="n"/>
      <c r="O132" s="31">
        <f>L132+M132+N132</f>
        <v/>
      </c>
      <c r="P132" s="29" t="n"/>
      <c r="Q132" s="32" t="n"/>
      <c r="R132" s="27" t="n"/>
      <c r="S132" s="27" t="n"/>
      <c r="T132" s="27" t="n"/>
      <c r="U132" s="27" t="n"/>
    </row>
    <row r="133">
      <c r="A133" s="27" t="n"/>
      <c r="B133" s="15">
        <f>IFERROR(INDEX(Lists!$C$2:$C$21,MATCH(A133,Lists!$B$2:$B$21,0)),"")</f>
        <v/>
      </c>
      <c r="C133" s="27" t="n"/>
      <c r="D133" s="27" t="n"/>
      <c r="E133" s="27" t="n"/>
      <c r="F133" s="27" t="n"/>
      <c r="G133" s="27" t="n"/>
      <c r="H133" s="27" t="n"/>
      <c r="I133" s="28" t="n"/>
      <c r="J133" s="29" t="n"/>
      <c r="K133" s="30" t="n"/>
      <c r="L133" s="31">
        <f>I133*K133</f>
        <v/>
      </c>
      <c r="M133" s="30" t="n"/>
      <c r="N133" s="30" t="n"/>
      <c r="O133" s="31">
        <f>L133+M133+N133</f>
        <v/>
      </c>
      <c r="P133" s="29" t="n"/>
      <c r="Q133" s="32" t="n"/>
      <c r="R133" s="27" t="n"/>
      <c r="S133" s="27" t="n"/>
      <c r="T133" s="27" t="n"/>
      <c r="U133" s="27" t="n"/>
    </row>
    <row r="134">
      <c r="A134" s="27" t="n"/>
      <c r="B134" s="15">
        <f>IFERROR(INDEX(Lists!$C$2:$C$21,MATCH(A134,Lists!$B$2:$B$21,0)),"")</f>
        <v/>
      </c>
      <c r="C134" s="27" t="n"/>
      <c r="D134" s="27" t="n"/>
      <c r="E134" s="27" t="n"/>
      <c r="F134" s="27" t="n"/>
      <c r="G134" s="27" t="n"/>
      <c r="H134" s="27" t="n"/>
      <c r="I134" s="28" t="n"/>
      <c r="J134" s="29" t="n"/>
      <c r="K134" s="30" t="n"/>
      <c r="L134" s="31">
        <f>I134*K134</f>
        <v/>
      </c>
      <c r="M134" s="30" t="n"/>
      <c r="N134" s="30" t="n"/>
      <c r="O134" s="31">
        <f>L134+M134+N134</f>
        <v/>
      </c>
      <c r="P134" s="29" t="n"/>
      <c r="Q134" s="32" t="n"/>
      <c r="R134" s="27" t="n"/>
      <c r="S134" s="27" t="n"/>
      <c r="T134" s="27" t="n"/>
      <c r="U134" s="27" t="n"/>
    </row>
    <row r="135">
      <c r="A135" s="27" t="n"/>
      <c r="B135" s="15">
        <f>IFERROR(INDEX(Lists!$C$2:$C$21,MATCH(A135,Lists!$B$2:$B$21,0)),"")</f>
        <v/>
      </c>
      <c r="C135" s="27" t="n"/>
      <c r="D135" s="27" t="n"/>
      <c r="E135" s="27" t="n"/>
      <c r="F135" s="27" t="n"/>
      <c r="G135" s="27" t="n"/>
      <c r="H135" s="27" t="n"/>
      <c r="I135" s="28" t="n"/>
      <c r="J135" s="29" t="n"/>
      <c r="K135" s="30" t="n"/>
      <c r="L135" s="31">
        <f>I135*K135</f>
        <v/>
      </c>
      <c r="M135" s="30" t="n"/>
      <c r="N135" s="30" t="n"/>
      <c r="O135" s="31">
        <f>L135+M135+N135</f>
        <v/>
      </c>
      <c r="P135" s="29" t="n"/>
      <c r="Q135" s="32" t="n"/>
      <c r="R135" s="27" t="n"/>
      <c r="S135" s="27" t="n"/>
      <c r="T135" s="27" t="n"/>
      <c r="U135" s="27" t="n"/>
    </row>
    <row r="136">
      <c r="A136" s="27" t="n"/>
      <c r="B136" s="15">
        <f>IFERROR(INDEX(Lists!$C$2:$C$21,MATCH(A136,Lists!$B$2:$B$21,0)),"")</f>
        <v/>
      </c>
      <c r="C136" s="27" t="n"/>
      <c r="D136" s="27" t="n"/>
      <c r="E136" s="27" t="n"/>
      <c r="F136" s="27" t="n"/>
      <c r="G136" s="27" t="n"/>
      <c r="H136" s="27" t="n"/>
      <c r="I136" s="28" t="n"/>
      <c r="J136" s="29" t="n"/>
      <c r="K136" s="30" t="n"/>
      <c r="L136" s="31">
        <f>I136*K136</f>
        <v/>
      </c>
      <c r="M136" s="30" t="n"/>
      <c r="N136" s="30" t="n"/>
      <c r="O136" s="31">
        <f>L136+M136+N136</f>
        <v/>
      </c>
      <c r="P136" s="29" t="n"/>
      <c r="Q136" s="32" t="n"/>
      <c r="R136" s="27" t="n"/>
      <c r="S136" s="27" t="n"/>
      <c r="T136" s="27" t="n"/>
      <c r="U136" s="27" t="n"/>
    </row>
    <row r="137">
      <c r="A137" s="27" t="n"/>
      <c r="B137" s="15">
        <f>IFERROR(INDEX(Lists!$C$2:$C$21,MATCH(A137,Lists!$B$2:$B$21,0)),"")</f>
        <v/>
      </c>
      <c r="C137" s="27" t="n"/>
      <c r="D137" s="27" t="n"/>
      <c r="E137" s="27" t="n"/>
      <c r="F137" s="27" t="n"/>
      <c r="G137" s="27" t="n"/>
      <c r="H137" s="27" t="n"/>
      <c r="I137" s="28" t="n"/>
      <c r="J137" s="29" t="n"/>
      <c r="K137" s="30" t="n"/>
      <c r="L137" s="31">
        <f>I137*K137</f>
        <v/>
      </c>
      <c r="M137" s="30" t="n"/>
      <c r="N137" s="30" t="n"/>
      <c r="O137" s="31">
        <f>L137+M137+N137</f>
        <v/>
      </c>
      <c r="P137" s="29" t="n"/>
      <c r="Q137" s="32" t="n"/>
      <c r="R137" s="27" t="n"/>
      <c r="S137" s="27" t="n"/>
      <c r="T137" s="27" t="n"/>
      <c r="U137" s="27" t="n"/>
    </row>
    <row r="138">
      <c r="A138" s="27" t="n"/>
      <c r="B138" s="15">
        <f>IFERROR(INDEX(Lists!$C$2:$C$21,MATCH(A138,Lists!$B$2:$B$21,0)),"")</f>
        <v/>
      </c>
      <c r="C138" s="27" t="n"/>
      <c r="D138" s="27" t="n"/>
      <c r="E138" s="27" t="n"/>
      <c r="F138" s="27" t="n"/>
      <c r="G138" s="27" t="n"/>
      <c r="H138" s="27" t="n"/>
      <c r="I138" s="28" t="n"/>
      <c r="J138" s="29" t="n"/>
      <c r="K138" s="30" t="n"/>
      <c r="L138" s="31">
        <f>I138*K138</f>
        <v/>
      </c>
      <c r="M138" s="30" t="n"/>
      <c r="N138" s="30" t="n"/>
      <c r="O138" s="31">
        <f>L138+M138+N138</f>
        <v/>
      </c>
      <c r="P138" s="29" t="n"/>
      <c r="Q138" s="32" t="n"/>
      <c r="R138" s="27" t="n"/>
      <c r="S138" s="27" t="n"/>
      <c r="T138" s="27" t="n"/>
      <c r="U138" s="27" t="n"/>
    </row>
    <row r="139">
      <c r="A139" s="27" t="n"/>
      <c r="B139" s="15">
        <f>IFERROR(INDEX(Lists!$C$2:$C$21,MATCH(A139,Lists!$B$2:$B$21,0)),"")</f>
        <v/>
      </c>
      <c r="C139" s="27" t="n"/>
      <c r="D139" s="27" t="n"/>
      <c r="E139" s="27" t="n"/>
      <c r="F139" s="27" t="n"/>
      <c r="G139" s="27" t="n"/>
      <c r="H139" s="27" t="n"/>
      <c r="I139" s="28" t="n"/>
      <c r="J139" s="29" t="n"/>
      <c r="K139" s="30" t="n"/>
      <c r="L139" s="31">
        <f>I139*K139</f>
        <v/>
      </c>
      <c r="M139" s="30" t="n"/>
      <c r="N139" s="30" t="n"/>
      <c r="O139" s="31">
        <f>L139+M139+N139</f>
        <v/>
      </c>
      <c r="P139" s="29" t="n"/>
      <c r="Q139" s="32" t="n"/>
      <c r="R139" s="27" t="n"/>
      <c r="S139" s="27" t="n"/>
      <c r="T139" s="27" t="n"/>
      <c r="U139" s="27" t="n"/>
    </row>
    <row r="140">
      <c r="A140" s="27" t="n"/>
      <c r="B140" s="15">
        <f>IFERROR(INDEX(Lists!$C$2:$C$21,MATCH(A140,Lists!$B$2:$B$21,0)),"")</f>
        <v/>
      </c>
      <c r="C140" s="27" t="n"/>
      <c r="D140" s="27" t="n"/>
      <c r="E140" s="27" t="n"/>
      <c r="F140" s="27" t="n"/>
      <c r="G140" s="27" t="n"/>
      <c r="H140" s="27" t="n"/>
      <c r="I140" s="28" t="n"/>
      <c r="J140" s="29" t="n"/>
      <c r="K140" s="30" t="n"/>
      <c r="L140" s="31">
        <f>I140*K140</f>
        <v/>
      </c>
      <c r="M140" s="30" t="n"/>
      <c r="N140" s="30" t="n"/>
      <c r="O140" s="31">
        <f>L140+M140+N140</f>
        <v/>
      </c>
      <c r="P140" s="29" t="n"/>
      <c r="Q140" s="32" t="n"/>
      <c r="R140" s="27" t="n"/>
      <c r="S140" s="27" t="n"/>
      <c r="T140" s="27" t="n"/>
      <c r="U140" s="27" t="n"/>
    </row>
    <row r="141">
      <c r="A141" s="27" t="n"/>
      <c r="B141" s="15">
        <f>IFERROR(INDEX(Lists!$C$2:$C$21,MATCH(A141,Lists!$B$2:$B$21,0)),"")</f>
        <v/>
      </c>
      <c r="C141" s="27" t="n"/>
      <c r="D141" s="27" t="n"/>
      <c r="E141" s="27" t="n"/>
      <c r="F141" s="27" t="n"/>
      <c r="G141" s="27" t="n"/>
      <c r="H141" s="27" t="n"/>
      <c r="I141" s="28" t="n"/>
      <c r="J141" s="29" t="n"/>
      <c r="K141" s="30" t="n"/>
      <c r="L141" s="31">
        <f>I141*K141</f>
        <v/>
      </c>
      <c r="M141" s="30" t="n"/>
      <c r="N141" s="30" t="n"/>
      <c r="O141" s="31">
        <f>L141+M141+N141</f>
        <v/>
      </c>
      <c r="P141" s="29" t="n"/>
      <c r="Q141" s="32" t="n"/>
      <c r="R141" s="27" t="n"/>
      <c r="S141" s="27" t="n"/>
      <c r="T141" s="27" t="n"/>
      <c r="U141" s="27" t="n"/>
    </row>
    <row r="142">
      <c r="A142" s="27" t="n"/>
      <c r="B142" s="15">
        <f>IFERROR(INDEX(Lists!$C$2:$C$21,MATCH(A142,Lists!$B$2:$B$21,0)),"")</f>
        <v/>
      </c>
      <c r="C142" s="27" t="n"/>
      <c r="D142" s="27" t="n"/>
      <c r="E142" s="27" t="n"/>
      <c r="F142" s="27" t="n"/>
      <c r="G142" s="27" t="n"/>
      <c r="H142" s="27" t="n"/>
      <c r="I142" s="28" t="n"/>
      <c r="J142" s="29" t="n"/>
      <c r="K142" s="30" t="n"/>
      <c r="L142" s="31">
        <f>I142*K142</f>
        <v/>
      </c>
      <c r="M142" s="30" t="n"/>
      <c r="N142" s="30" t="n"/>
      <c r="O142" s="31">
        <f>L142+M142+N142</f>
        <v/>
      </c>
      <c r="P142" s="29" t="n"/>
      <c r="Q142" s="32" t="n"/>
      <c r="R142" s="27" t="n"/>
      <c r="S142" s="27" t="n"/>
      <c r="T142" s="27" t="n"/>
      <c r="U142" s="27" t="n"/>
    </row>
    <row r="143">
      <c r="A143" s="27" t="n"/>
      <c r="B143" s="15">
        <f>IFERROR(INDEX(Lists!$C$2:$C$21,MATCH(A143,Lists!$B$2:$B$21,0)),"")</f>
        <v/>
      </c>
      <c r="C143" s="27" t="n"/>
      <c r="D143" s="27" t="n"/>
      <c r="E143" s="27" t="n"/>
      <c r="F143" s="27" t="n"/>
      <c r="G143" s="27" t="n"/>
      <c r="H143" s="27" t="n"/>
      <c r="I143" s="28" t="n"/>
      <c r="J143" s="29" t="n"/>
      <c r="K143" s="30" t="n"/>
      <c r="L143" s="31">
        <f>I143*K143</f>
        <v/>
      </c>
      <c r="M143" s="30" t="n"/>
      <c r="N143" s="30" t="n"/>
      <c r="O143" s="31">
        <f>L143+M143+N143</f>
        <v/>
      </c>
      <c r="P143" s="29" t="n"/>
      <c r="Q143" s="32" t="n"/>
      <c r="R143" s="27" t="n"/>
      <c r="S143" s="27" t="n"/>
      <c r="T143" s="27" t="n"/>
      <c r="U143" s="27" t="n"/>
    </row>
    <row r="144">
      <c r="A144" s="27" t="n"/>
      <c r="B144" s="15">
        <f>IFERROR(INDEX(Lists!$C$2:$C$21,MATCH(A144,Lists!$B$2:$B$21,0)),"")</f>
        <v/>
      </c>
      <c r="C144" s="27" t="n"/>
      <c r="D144" s="27" t="n"/>
      <c r="E144" s="27" t="n"/>
      <c r="F144" s="27" t="n"/>
      <c r="G144" s="27" t="n"/>
      <c r="H144" s="27" t="n"/>
      <c r="I144" s="28" t="n"/>
      <c r="J144" s="29" t="n"/>
      <c r="K144" s="30" t="n"/>
      <c r="L144" s="31">
        <f>I144*K144</f>
        <v/>
      </c>
      <c r="M144" s="30" t="n"/>
      <c r="N144" s="30" t="n"/>
      <c r="O144" s="31">
        <f>L144+M144+N144</f>
        <v/>
      </c>
      <c r="P144" s="29" t="n"/>
      <c r="Q144" s="32" t="n"/>
      <c r="R144" s="27" t="n"/>
      <c r="S144" s="27" t="n"/>
      <c r="T144" s="27" t="n"/>
      <c r="U144" s="27" t="n"/>
    </row>
    <row r="145">
      <c r="A145" s="27" t="n"/>
      <c r="B145" s="15">
        <f>IFERROR(INDEX(Lists!$C$2:$C$21,MATCH(A145,Lists!$B$2:$B$21,0)),"")</f>
        <v/>
      </c>
      <c r="C145" s="27" t="n"/>
      <c r="D145" s="27" t="n"/>
      <c r="E145" s="27" t="n"/>
      <c r="F145" s="27" t="n"/>
      <c r="G145" s="27" t="n"/>
      <c r="H145" s="27" t="n"/>
      <c r="I145" s="28" t="n"/>
      <c r="J145" s="29" t="n"/>
      <c r="K145" s="30" t="n"/>
      <c r="L145" s="31">
        <f>I145*K145</f>
        <v/>
      </c>
      <c r="M145" s="30" t="n"/>
      <c r="N145" s="30" t="n"/>
      <c r="O145" s="31">
        <f>L145+M145+N145</f>
        <v/>
      </c>
      <c r="P145" s="29" t="n"/>
      <c r="Q145" s="32" t="n"/>
      <c r="R145" s="27" t="n"/>
      <c r="S145" s="27" t="n"/>
      <c r="T145" s="27" t="n"/>
      <c r="U145" s="27" t="n"/>
    </row>
    <row r="146">
      <c r="A146" s="27" t="n"/>
      <c r="B146" s="15">
        <f>IFERROR(INDEX(Lists!$C$2:$C$21,MATCH(A146,Lists!$B$2:$B$21,0)),"")</f>
        <v/>
      </c>
      <c r="C146" s="27" t="n"/>
      <c r="D146" s="27" t="n"/>
      <c r="E146" s="27" t="n"/>
      <c r="F146" s="27" t="n"/>
      <c r="G146" s="27" t="n"/>
      <c r="H146" s="27" t="n"/>
      <c r="I146" s="28" t="n"/>
      <c r="J146" s="29" t="n"/>
      <c r="K146" s="30" t="n"/>
      <c r="L146" s="31">
        <f>I146*K146</f>
        <v/>
      </c>
      <c r="M146" s="30" t="n"/>
      <c r="N146" s="30" t="n"/>
      <c r="O146" s="31">
        <f>L146+M146+N146</f>
        <v/>
      </c>
      <c r="P146" s="29" t="n"/>
      <c r="Q146" s="32" t="n"/>
      <c r="R146" s="27" t="n"/>
      <c r="S146" s="27" t="n"/>
      <c r="T146" s="27" t="n"/>
      <c r="U146" s="27" t="n"/>
    </row>
    <row r="147">
      <c r="A147" s="27" t="n"/>
      <c r="B147" s="15">
        <f>IFERROR(INDEX(Lists!$C$2:$C$21,MATCH(A147,Lists!$B$2:$B$21,0)),"")</f>
        <v/>
      </c>
      <c r="C147" s="27" t="n"/>
      <c r="D147" s="27" t="n"/>
      <c r="E147" s="27" t="n"/>
      <c r="F147" s="27" t="n"/>
      <c r="G147" s="27" t="n"/>
      <c r="H147" s="27" t="n"/>
      <c r="I147" s="28" t="n"/>
      <c r="J147" s="29" t="n"/>
      <c r="K147" s="30" t="n"/>
      <c r="L147" s="31">
        <f>I147*K147</f>
        <v/>
      </c>
      <c r="M147" s="30" t="n"/>
      <c r="N147" s="30" t="n"/>
      <c r="O147" s="31">
        <f>L147+M147+N147</f>
        <v/>
      </c>
      <c r="P147" s="29" t="n"/>
      <c r="Q147" s="32" t="n"/>
      <c r="R147" s="27" t="n"/>
      <c r="S147" s="27" t="n"/>
      <c r="T147" s="27" t="n"/>
      <c r="U147" s="27" t="n"/>
    </row>
    <row r="148">
      <c r="A148" s="27" t="n"/>
      <c r="B148" s="15">
        <f>IFERROR(INDEX(Lists!$C$2:$C$21,MATCH(A148,Lists!$B$2:$B$21,0)),"")</f>
        <v/>
      </c>
      <c r="C148" s="27" t="n"/>
      <c r="D148" s="27" t="n"/>
      <c r="E148" s="27" t="n"/>
      <c r="F148" s="27" t="n"/>
      <c r="G148" s="27" t="n"/>
      <c r="H148" s="27" t="n"/>
      <c r="I148" s="28" t="n"/>
      <c r="J148" s="29" t="n"/>
      <c r="K148" s="30" t="n"/>
      <c r="L148" s="31">
        <f>I148*K148</f>
        <v/>
      </c>
      <c r="M148" s="30" t="n"/>
      <c r="N148" s="30" t="n"/>
      <c r="O148" s="31">
        <f>L148+M148+N148</f>
        <v/>
      </c>
      <c r="P148" s="29" t="n"/>
      <c r="Q148" s="32" t="n"/>
      <c r="R148" s="27" t="n"/>
      <c r="S148" s="27" t="n"/>
      <c r="T148" s="27" t="n"/>
      <c r="U148" s="27" t="n"/>
    </row>
    <row r="149">
      <c r="A149" s="27" t="n"/>
      <c r="B149" s="15">
        <f>IFERROR(INDEX(Lists!$C$2:$C$21,MATCH(A149,Lists!$B$2:$B$21,0)),"")</f>
        <v/>
      </c>
      <c r="C149" s="27" t="n"/>
      <c r="D149" s="27" t="n"/>
      <c r="E149" s="27" t="n"/>
      <c r="F149" s="27" t="n"/>
      <c r="G149" s="27" t="n"/>
      <c r="H149" s="27" t="n"/>
      <c r="I149" s="28" t="n"/>
      <c r="J149" s="29" t="n"/>
      <c r="K149" s="30" t="n"/>
      <c r="L149" s="31">
        <f>I149*K149</f>
        <v/>
      </c>
      <c r="M149" s="30" t="n"/>
      <c r="N149" s="30" t="n"/>
      <c r="O149" s="31">
        <f>L149+M149+N149</f>
        <v/>
      </c>
      <c r="P149" s="29" t="n"/>
      <c r="Q149" s="32" t="n"/>
      <c r="R149" s="27" t="n"/>
      <c r="S149" s="27" t="n"/>
      <c r="T149" s="27" t="n"/>
      <c r="U149" s="27" t="n"/>
    </row>
    <row r="150">
      <c r="A150" s="27" t="n"/>
      <c r="B150" s="15">
        <f>IFERROR(INDEX(Lists!$C$2:$C$21,MATCH(A150,Lists!$B$2:$B$21,0)),"")</f>
        <v/>
      </c>
      <c r="C150" s="27" t="n"/>
      <c r="D150" s="27" t="n"/>
      <c r="E150" s="27" t="n"/>
      <c r="F150" s="27" t="n"/>
      <c r="G150" s="27" t="n"/>
      <c r="H150" s="27" t="n"/>
      <c r="I150" s="28" t="n"/>
      <c r="J150" s="29" t="n"/>
      <c r="K150" s="30" t="n"/>
      <c r="L150" s="31">
        <f>I150*K150</f>
        <v/>
      </c>
      <c r="M150" s="30" t="n"/>
      <c r="N150" s="30" t="n"/>
      <c r="O150" s="31">
        <f>L150+M150+N150</f>
        <v/>
      </c>
      <c r="P150" s="29" t="n"/>
      <c r="Q150" s="32" t="n"/>
      <c r="R150" s="27" t="n"/>
      <c r="S150" s="27" t="n"/>
      <c r="T150" s="27" t="n"/>
      <c r="U150" s="27" t="n"/>
    </row>
    <row r="151">
      <c r="A151" s="27" t="n"/>
      <c r="B151" s="15">
        <f>IFERROR(INDEX(Lists!$C$2:$C$21,MATCH(A151,Lists!$B$2:$B$21,0)),"")</f>
        <v/>
      </c>
      <c r="C151" s="27" t="n"/>
      <c r="D151" s="27" t="n"/>
      <c r="E151" s="27" t="n"/>
      <c r="F151" s="27" t="n"/>
      <c r="G151" s="27" t="n"/>
      <c r="H151" s="27" t="n"/>
      <c r="I151" s="28" t="n"/>
      <c r="J151" s="29" t="n"/>
      <c r="K151" s="30" t="n"/>
      <c r="L151" s="31">
        <f>I151*K151</f>
        <v/>
      </c>
      <c r="M151" s="30" t="n"/>
      <c r="N151" s="30" t="n"/>
      <c r="O151" s="31">
        <f>L151+M151+N151</f>
        <v/>
      </c>
      <c r="P151" s="29" t="n"/>
      <c r="Q151" s="32" t="n"/>
      <c r="R151" s="27" t="n"/>
      <c r="S151" s="27" t="n"/>
      <c r="T151" s="27" t="n"/>
      <c r="U151" s="27" t="n"/>
    </row>
    <row r="152">
      <c r="A152" s="27" t="n"/>
      <c r="B152" s="15">
        <f>IFERROR(INDEX(Lists!$C$2:$C$21,MATCH(A152,Lists!$B$2:$B$21,0)),"")</f>
        <v/>
      </c>
      <c r="C152" s="27" t="n"/>
      <c r="D152" s="27" t="n"/>
      <c r="E152" s="27" t="n"/>
      <c r="F152" s="27" t="n"/>
      <c r="G152" s="27" t="n"/>
      <c r="H152" s="27" t="n"/>
      <c r="I152" s="28" t="n"/>
      <c r="J152" s="29" t="n"/>
      <c r="K152" s="30" t="n"/>
      <c r="L152" s="31">
        <f>I152*K152</f>
        <v/>
      </c>
      <c r="M152" s="30" t="n"/>
      <c r="N152" s="30" t="n"/>
      <c r="O152" s="31">
        <f>L152+M152+N152</f>
        <v/>
      </c>
      <c r="P152" s="29" t="n"/>
      <c r="Q152" s="32" t="n"/>
      <c r="R152" s="27" t="n"/>
      <c r="S152" s="27" t="n"/>
      <c r="T152" s="27" t="n"/>
      <c r="U152" s="27" t="n"/>
    </row>
    <row r="153">
      <c r="A153" s="27" t="n"/>
      <c r="B153" s="15">
        <f>IFERROR(INDEX(Lists!$C$2:$C$21,MATCH(A153,Lists!$B$2:$B$21,0)),"")</f>
        <v/>
      </c>
      <c r="C153" s="27" t="n"/>
      <c r="D153" s="27" t="n"/>
      <c r="E153" s="27" t="n"/>
      <c r="F153" s="27" t="n"/>
      <c r="G153" s="27" t="n"/>
      <c r="H153" s="27" t="n"/>
      <c r="I153" s="28" t="n"/>
      <c r="J153" s="29" t="n"/>
      <c r="K153" s="30" t="n"/>
      <c r="L153" s="31">
        <f>I153*K153</f>
        <v/>
      </c>
      <c r="M153" s="30" t="n"/>
      <c r="N153" s="30" t="n"/>
      <c r="O153" s="31">
        <f>L153+M153+N153</f>
        <v/>
      </c>
      <c r="P153" s="29" t="n"/>
      <c r="Q153" s="32" t="n"/>
      <c r="R153" s="27" t="n"/>
      <c r="S153" s="27" t="n"/>
      <c r="T153" s="27" t="n"/>
      <c r="U153" s="27" t="n"/>
    </row>
    <row r="154">
      <c r="A154" s="27" t="n"/>
      <c r="B154" s="15">
        <f>IFERROR(INDEX(Lists!$C$2:$C$21,MATCH(A154,Lists!$B$2:$B$21,0)),"")</f>
        <v/>
      </c>
      <c r="C154" s="27" t="n"/>
      <c r="D154" s="27" t="n"/>
      <c r="E154" s="27" t="n"/>
      <c r="F154" s="27" t="n"/>
      <c r="G154" s="27" t="n"/>
      <c r="H154" s="27" t="n"/>
      <c r="I154" s="28" t="n"/>
      <c r="J154" s="29" t="n"/>
      <c r="K154" s="30" t="n"/>
      <c r="L154" s="31">
        <f>I154*K154</f>
        <v/>
      </c>
      <c r="M154" s="30" t="n"/>
      <c r="N154" s="30" t="n"/>
      <c r="O154" s="31">
        <f>L154+M154+N154</f>
        <v/>
      </c>
      <c r="P154" s="29" t="n"/>
      <c r="Q154" s="32" t="n"/>
      <c r="R154" s="27" t="n"/>
      <c r="S154" s="27" t="n"/>
      <c r="T154" s="27" t="n"/>
      <c r="U154" s="27" t="n"/>
    </row>
    <row r="155">
      <c r="A155" s="27" t="n"/>
      <c r="B155" s="15">
        <f>IFERROR(INDEX(Lists!$C$2:$C$21,MATCH(A155,Lists!$B$2:$B$21,0)),"")</f>
        <v/>
      </c>
      <c r="C155" s="27" t="n"/>
      <c r="D155" s="27" t="n"/>
      <c r="E155" s="27" t="n"/>
      <c r="F155" s="27" t="n"/>
      <c r="G155" s="27" t="n"/>
      <c r="H155" s="27" t="n"/>
      <c r="I155" s="28" t="n"/>
      <c r="J155" s="29" t="n"/>
      <c r="K155" s="30" t="n"/>
      <c r="L155" s="31">
        <f>I155*K155</f>
        <v/>
      </c>
      <c r="M155" s="30" t="n"/>
      <c r="N155" s="30" t="n"/>
      <c r="O155" s="31">
        <f>L155+M155+N155</f>
        <v/>
      </c>
      <c r="P155" s="29" t="n"/>
      <c r="Q155" s="32" t="n"/>
      <c r="R155" s="27" t="n"/>
      <c r="S155" s="27" t="n"/>
      <c r="T155" s="27" t="n"/>
      <c r="U155" s="27" t="n"/>
    </row>
    <row r="156">
      <c r="A156" s="27" t="n"/>
      <c r="B156" s="15">
        <f>IFERROR(INDEX(Lists!$C$2:$C$21,MATCH(A156,Lists!$B$2:$B$21,0)),"")</f>
        <v/>
      </c>
      <c r="C156" s="27" t="n"/>
      <c r="D156" s="27" t="n"/>
      <c r="E156" s="27" t="n"/>
      <c r="F156" s="27" t="n"/>
      <c r="G156" s="27" t="n"/>
      <c r="H156" s="27" t="n"/>
      <c r="I156" s="28" t="n"/>
      <c r="J156" s="29" t="n"/>
      <c r="K156" s="30" t="n"/>
      <c r="L156" s="31">
        <f>I156*K156</f>
        <v/>
      </c>
      <c r="M156" s="30" t="n"/>
      <c r="N156" s="30" t="n"/>
      <c r="O156" s="31">
        <f>L156+M156+N156</f>
        <v/>
      </c>
      <c r="P156" s="29" t="n"/>
      <c r="Q156" s="32" t="n"/>
      <c r="R156" s="27" t="n"/>
      <c r="S156" s="27" t="n"/>
      <c r="T156" s="27" t="n"/>
      <c r="U156" s="27" t="n"/>
    </row>
    <row r="157">
      <c r="A157" s="27" t="n"/>
      <c r="B157" s="15">
        <f>IFERROR(INDEX(Lists!$C$2:$C$21,MATCH(A157,Lists!$B$2:$B$21,0)),"")</f>
        <v/>
      </c>
      <c r="C157" s="27" t="n"/>
      <c r="D157" s="27" t="n"/>
      <c r="E157" s="27" t="n"/>
      <c r="F157" s="27" t="n"/>
      <c r="G157" s="27" t="n"/>
      <c r="H157" s="27" t="n"/>
      <c r="I157" s="28" t="n"/>
      <c r="J157" s="29" t="n"/>
      <c r="K157" s="30" t="n"/>
      <c r="L157" s="31">
        <f>I157*K157</f>
        <v/>
      </c>
      <c r="M157" s="30" t="n"/>
      <c r="N157" s="30" t="n"/>
      <c r="O157" s="31">
        <f>L157+M157+N157</f>
        <v/>
      </c>
      <c r="P157" s="29" t="n"/>
      <c r="Q157" s="32" t="n"/>
      <c r="R157" s="27" t="n"/>
      <c r="S157" s="27" t="n"/>
      <c r="T157" s="27" t="n"/>
      <c r="U157" s="27" t="n"/>
    </row>
    <row r="158">
      <c r="A158" s="27" t="n"/>
      <c r="B158" s="15">
        <f>IFERROR(INDEX(Lists!$C$2:$C$21,MATCH(A158,Lists!$B$2:$B$21,0)),"")</f>
        <v/>
      </c>
      <c r="C158" s="27" t="n"/>
      <c r="D158" s="27" t="n"/>
      <c r="E158" s="27" t="n"/>
      <c r="F158" s="27" t="n"/>
      <c r="G158" s="27" t="n"/>
      <c r="H158" s="27" t="n"/>
      <c r="I158" s="28" t="n"/>
      <c r="J158" s="29" t="n"/>
      <c r="K158" s="30" t="n"/>
      <c r="L158" s="31">
        <f>I158*K158</f>
        <v/>
      </c>
      <c r="M158" s="30" t="n"/>
      <c r="N158" s="30" t="n"/>
      <c r="O158" s="31">
        <f>L158+M158+N158</f>
        <v/>
      </c>
      <c r="P158" s="29" t="n"/>
      <c r="Q158" s="32" t="n"/>
      <c r="R158" s="27" t="n"/>
      <c r="S158" s="27" t="n"/>
      <c r="T158" s="27" t="n"/>
      <c r="U158" s="27" t="n"/>
    </row>
    <row r="159">
      <c r="A159" s="27" t="n"/>
      <c r="B159" s="15">
        <f>IFERROR(INDEX(Lists!$C$2:$C$21,MATCH(A159,Lists!$B$2:$B$21,0)),"")</f>
        <v/>
      </c>
      <c r="C159" s="27" t="n"/>
      <c r="D159" s="27" t="n"/>
      <c r="E159" s="27" t="n"/>
      <c r="F159" s="27" t="n"/>
      <c r="G159" s="27" t="n"/>
      <c r="H159" s="27" t="n"/>
      <c r="I159" s="28" t="n"/>
      <c r="J159" s="29" t="n"/>
      <c r="K159" s="30" t="n"/>
      <c r="L159" s="31">
        <f>I159*K159</f>
        <v/>
      </c>
      <c r="M159" s="30" t="n"/>
      <c r="N159" s="30" t="n"/>
      <c r="O159" s="31">
        <f>L159+M159+N159</f>
        <v/>
      </c>
      <c r="P159" s="29" t="n"/>
      <c r="Q159" s="32" t="n"/>
      <c r="R159" s="27" t="n"/>
      <c r="S159" s="27" t="n"/>
      <c r="T159" s="27" t="n"/>
      <c r="U159" s="27" t="n"/>
    </row>
    <row r="160">
      <c r="A160" s="27" t="n"/>
      <c r="B160" s="15">
        <f>IFERROR(INDEX(Lists!$C$2:$C$21,MATCH(A160,Lists!$B$2:$B$21,0)),"")</f>
        <v/>
      </c>
      <c r="C160" s="27" t="n"/>
      <c r="D160" s="27" t="n"/>
      <c r="E160" s="27" t="n"/>
      <c r="F160" s="27" t="n"/>
      <c r="G160" s="27" t="n"/>
      <c r="H160" s="27" t="n"/>
      <c r="I160" s="28" t="n"/>
      <c r="J160" s="29" t="n"/>
      <c r="K160" s="30" t="n"/>
      <c r="L160" s="31">
        <f>I160*K160</f>
        <v/>
      </c>
      <c r="M160" s="30" t="n"/>
      <c r="N160" s="30" t="n"/>
      <c r="O160" s="31">
        <f>L160+M160+N160</f>
        <v/>
      </c>
      <c r="P160" s="29" t="n"/>
      <c r="Q160" s="32" t="n"/>
      <c r="R160" s="27" t="n"/>
      <c r="S160" s="27" t="n"/>
      <c r="T160" s="27" t="n"/>
      <c r="U160" s="27" t="n"/>
    </row>
    <row r="161">
      <c r="A161" s="27" t="n"/>
      <c r="B161" s="15">
        <f>IFERROR(INDEX(Lists!$C$2:$C$21,MATCH(A161,Lists!$B$2:$B$21,0)),"")</f>
        <v/>
      </c>
      <c r="C161" s="27" t="n"/>
      <c r="D161" s="27" t="n"/>
      <c r="E161" s="27" t="n"/>
      <c r="F161" s="27" t="n"/>
      <c r="G161" s="27" t="n"/>
      <c r="H161" s="27" t="n"/>
      <c r="I161" s="28" t="n"/>
      <c r="J161" s="29" t="n"/>
      <c r="K161" s="30" t="n"/>
      <c r="L161" s="31">
        <f>I161*K161</f>
        <v/>
      </c>
      <c r="M161" s="30" t="n"/>
      <c r="N161" s="30" t="n"/>
      <c r="O161" s="31">
        <f>L161+M161+N161</f>
        <v/>
      </c>
      <c r="P161" s="29" t="n"/>
      <c r="Q161" s="32" t="n"/>
      <c r="R161" s="27" t="n"/>
      <c r="S161" s="27" t="n"/>
      <c r="T161" s="27" t="n"/>
      <c r="U161" s="27" t="n"/>
    </row>
    <row r="162">
      <c r="A162" s="27" t="n"/>
      <c r="B162" s="15">
        <f>IFERROR(INDEX(Lists!$C$2:$C$21,MATCH(A162,Lists!$B$2:$B$21,0)),"")</f>
        <v/>
      </c>
      <c r="C162" s="27" t="n"/>
      <c r="D162" s="27" t="n"/>
      <c r="E162" s="27" t="n"/>
      <c r="F162" s="27" t="n"/>
      <c r="G162" s="27" t="n"/>
      <c r="H162" s="27" t="n"/>
      <c r="I162" s="28" t="n"/>
      <c r="J162" s="29" t="n"/>
      <c r="K162" s="30" t="n"/>
      <c r="L162" s="31">
        <f>I162*K162</f>
        <v/>
      </c>
      <c r="M162" s="30" t="n"/>
      <c r="N162" s="30" t="n"/>
      <c r="O162" s="31">
        <f>L162+M162+N162</f>
        <v/>
      </c>
      <c r="P162" s="29" t="n"/>
      <c r="Q162" s="32" t="n"/>
      <c r="R162" s="27" t="n"/>
      <c r="S162" s="27" t="n"/>
      <c r="T162" s="27" t="n"/>
      <c r="U162" s="27" t="n"/>
    </row>
    <row r="163">
      <c r="A163" s="27" t="n"/>
      <c r="B163" s="15">
        <f>IFERROR(INDEX(Lists!$C$2:$C$21,MATCH(A163,Lists!$B$2:$B$21,0)),"")</f>
        <v/>
      </c>
      <c r="C163" s="27" t="n"/>
      <c r="D163" s="27" t="n"/>
      <c r="E163" s="27" t="n"/>
      <c r="F163" s="27" t="n"/>
      <c r="G163" s="27" t="n"/>
      <c r="H163" s="27" t="n"/>
      <c r="I163" s="28" t="n"/>
      <c r="J163" s="29" t="n"/>
      <c r="K163" s="30" t="n"/>
      <c r="L163" s="31">
        <f>I163*K163</f>
        <v/>
      </c>
      <c r="M163" s="30" t="n"/>
      <c r="N163" s="30" t="n"/>
      <c r="O163" s="31">
        <f>L163+M163+N163</f>
        <v/>
      </c>
      <c r="P163" s="29" t="n"/>
      <c r="Q163" s="32" t="n"/>
      <c r="R163" s="27" t="n"/>
      <c r="S163" s="27" t="n"/>
      <c r="T163" s="27" t="n"/>
      <c r="U163" s="27" t="n"/>
    </row>
    <row r="164">
      <c r="A164" s="27" t="n"/>
      <c r="B164" s="15">
        <f>IFERROR(INDEX(Lists!$C$2:$C$21,MATCH(A164,Lists!$B$2:$B$21,0)),"")</f>
        <v/>
      </c>
      <c r="C164" s="27" t="n"/>
      <c r="D164" s="27" t="n"/>
      <c r="E164" s="27" t="n"/>
      <c r="F164" s="27" t="n"/>
      <c r="G164" s="27" t="n"/>
      <c r="H164" s="27" t="n"/>
      <c r="I164" s="28" t="n"/>
      <c r="J164" s="29" t="n"/>
      <c r="K164" s="30" t="n"/>
      <c r="L164" s="31">
        <f>I164*K164</f>
        <v/>
      </c>
      <c r="M164" s="30" t="n"/>
      <c r="N164" s="30" t="n"/>
      <c r="O164" s="31">
        <f>L164+M164+N164</f>
        <v/>
      </c>
      <c r="P164" s="29" t="n"/>
      <c r="Q164" s="32" t="n"/>
      <c r="R164" s="27" t="n"/>
      <c r="S164" s="27" t="n"/>
      <c r="T164" s="27" t="n"/>
      <c r="U164" s="27" t="n"/>
    </row>
    <row r="165">
      <c r="A165" s="27" t="n"/>
      <c r="B165" s="15">
        <f>IFERROR(INDEX(Lists!$C$2:$C$21,MATCH(A165,Lists!$B$2:$B$21,0)),"")</f>
        <v/>
      </c>
      <c r="C165" s="27" t="n"/>
      <c r="D165" s="27" t="n"/>
      <c r="E165" s="27" t="n"/>
      <c r="F165" s="27" t="n"/>
      <c r="G165" s="27" t="n"/>
      <c r="H165" s="27" t="n"/>
      <c r="I165" s="28" t="n"/>
      <c r="J165" s="29" t="n"/>
      <c r="K165" s="30" t="n"/>
      <c r="L165" s="31">
        <f>I165*K165</f>
        <v/>
      </c>
      <c r="M165" s="30" t="n"/>
      <c r="N165" s="30" t="n"/>
      <c r="O165" s="31">
        <f>L165+M165+N165</f>
        <v/>
      </c>
      <c r="P165" s="29" t="n"/>
      <c r="Q165" s="32" t="n"/>
      <c r="R165" s="27" t="n"/>
      <c r="S165" s="27" t="n"/>
      <c r="T165" s="27" t="n"/>
      <c r="U165" s="27" t="n"/>
    </row>
    <row r="166">
      <c r="A166" s="27" t="n"/>
      <c r="B166" s="15">
        <f>IFERROR(INDEX(Lists!$C$2:$C$21,MATCH(A166,Lists!$B$2:$B$21,0)),"")</f>
        <v/>
      </c>
      <c r="C166" s="27" t="n"/>
      <c r="D166" s="27" t="n"/>
      <c r="E166" s="27" t="n"/>
      <c r="F166" s="27" t="n"/>
      <c r="G166" s="27" t="n"/>
      <c r="H166" s="27" t="n"/>
      <c r="I166" s="28" t="n"/>
      <c r="J166" s="29" t="n"/>
      <c r="K166" s="30" t="n"/>
      <c r="L166" s="31">
        <f>I166*K166</f>
        <v/>
      </c>
      <c r="M166" s="30" t="n"/>
      <c r="N166" s="30" t="n"/>
      <c r="O166" s="31">
        <f>L166+M166+N166</f>
        <v/>
      </c>
      <c r="P166" s="29" t="n"/>
      <c r="Q166" s="32" t="n"/>
      <c r="R166" s="27" t="n"/>
      <c r="S166" s="27" t="n"/>
      <c r="T166" s="27" t="n"/>
      <c r="U166" s="27" t="n"/>
    </row>
    <row r="167">
      <c r="A167" s="27" t="n"/>
      <c r="B167" s="15">
        <f>IFERROR(INDEX(Lists!$C$2:$C$21,MATCH(A167,Lists!$B$2:$B$21,0)),"")</f>
        <v/>
      </c>
      <c r="C167" s="27" t="n"/>
      <c r="D167" s="27" t="n"/>
      <c r="E167" s="27" t="n"/>
      <c r="F167" s="27" t="n"/>
      <c r="G167" s="27" t="n"/>
      <c r="H167" s="27" t="n"/>
      <c r="I167" s="28" t="n"/>
      <c r="J167" s="29" t="n"/>
      <c r="K167" s="30" t="n"/>
      <c r="L167" s="31">
        <f>I167*K167</f>
        <v/>
      </c>
      <c r="M167" s="30" t="n"/>
      <c r="N167" s="30" t="n"/>
      <c r="O167" s="31">
        <f>L167+M167+N167</f>
        <v/>
      </c>
      <c r="P167" s="29" t="n"/>
      <c r="Q167" s="32" t="n"/>
      <c r="R167" s="27" t="n"/>
      <c r="S167" s="27" t="n"/>
      <c r="T167" s="27" t="n"/>
      <c r="U167" s="27" t="n"/>
    </row>
    <row r="168">
      <c r="A168" s="27" t="n"/>
      <c r="B168" s="15">
        <f>IFERROR(INDEX(Lists!$C$2:$C$21,MATCH(A168,Lists!$B$2:$B$21,0)),"")</f>
        <v/>
      </c>
      <c r="C168" s="27" t="n"/>
      <c r="D168" s="27" t="n"/>
      <c r="E168" s="27" t="n"/>
      <c r="F168" s="27" t="n"/>
      <c r="G168" s="27" t="n"/>
      <c r="H168" s="27" t="n"/>
      <c r="I168" s="28" t="n"/>
      <c r="J168" s="29" t="n"/>
      <c r="K168" s="30" t="n"/>
      <c r="L168" s="31">
        <f>I168*K168</f>
        <v/>
      </c>
      <c r="M168" s="30" t="n"/>
      <c r="N168" s="30" t="n"/>
      <c r="O168" s="31">
        <f>L168+M168+N168</f>
        <v/>
      </c>
      <c r="P168" s="29" t="n"/>
      <c r="Q168" s="32" t="n"/>
      <c r="R168" s="27" t="n"/>
      <c r="S168" s="27" t="n"/>
      <c r="T168" s="27" t="n"/>
      <c r="U168" s="27" t="n"/>
    </row>
    <row r="169">
      <c r="A169" s="27" t="n"/>
      <c r="B169" s="15">
        <f>IFERROR(INDEX(Lists!$C$2:$C$21,MATCH(A169,Lists!$B$2:$B$21,0)),"")</f>
        <v/>
      </c>
      <c r="C169" s="27" t="n"/>
      <c r="D169" s="27" t="n"/>
      <c r="E169" s="27" t="n"/>
      <c r="F169" s="27" t="n"/>
      <c r="G169" s="27" t="n"/>
      <c r="H169" s="27" t="n"/>
      <c r="I169" s="28" t="n"/>
      <c r="J169" s="29" t="n"/>
      <c r="K169" s="30" t="n"/>
      <c r="L169" s="31">
        <f>I169*K169</f>
        <v/>
      </c>
      <c r="M169" s="30" t="n"/>
      <c r="N169" s="30" t="n"/>
      <c r="O169" s="31">
        <f>L169+M169+N169</f>
        <v/>
      </c>
      <c r="P169" s="29" t="n"/>
      <c r="Q169" s="32" t="n"/>
      <c r="R169" s="27" t="n"/>
      <c r="S169" s="27" t="n"/>
      <c r="T169" s="27" t="n"/>
      <c r="U169" s="27" t="n"/>
    </row>
    <row r="170">
      <c r="A170" s="27" t="n"/>
      <c r="B170" s="15">
        <f>IFERROR(INDEX(Lists!$C$2:$C$21,MATCH(A170,Lists!$B$2:$B$21,0)),"")</f>
        <v/>
      </c>
      <c r="C170" s="27" t="n"/>
      <c r="D170" s="27" t="n"/>
      <c r="E170" s="27" t="n"/>
      <c r="F170" s="27" t="n"/>
      <c r="G170" s="27" t="n"/>
      <c r="H170" s="27" t="n"/>
      <c r="I170" s="28" t="n"/>
      <c r="J170" s="29" t="n"/>
      <c r="K170" s="30" t="n"/>
      <c r="L170" s="31">
        <f>I170*K170</f>
        <v/>
      </c>
      <c r="M170" s="30" t="n"/>
      <c r="N170" s="30" t="n"/>
      <c r="O170" s="31">
        <f>L170+M170+N170</f>
        <v/>
      </c>
      <c r="P170" s="29" t="n"/>
      <c r="Q170" s="32" t="n"/>
      <c r="R170" s="27" t="n"/>
      <c r="S170" s="27" t="n"/>
      <c r="T170" s="27" t="n"/>
      <c r="U170" s="27" t="n"/>
    </row>
    <row r="171">
      <c r="A171" s="27" t="n"/>
      <c r="B171" s="15">
        <f>IFERROR(INDEX(Lists!$C$2:$C$21,MATCH(A171,Lists!$B$2:$B$21,0)),"")</f>
        <v/>
      </c>
      <c r="C171" s="27" t="n"/>
      <c r="D171" s="27" t="n"/>
      <c r="E171" s="27" t="n"/>
      <c r="F171" s="27" t="n"/>
      <c r="G171" s="27" t="n"/>
      <c r="H171" s="27" t="n"/>
      <c r="I171" s="28" t="n"/>
      <c r="J171" s="29" t="n"/>
      <c r="K171" s="30" t="n"/>
      <c r="L171" s="31">
        <f>I171*K171</f>
        <v/>
      </c>
      <c r="M171" s="30" t="n"/>
      <c r="N171" s="30" t="n"/>
      <c r="O171" s="31">
        <f>L171+M171+N171</f>
        <v/>
      </c>
      <c r="P171" s="29" t="n"/>
      <c r="Q171" s="32" t="n"/>
      <c r="R171" s="27" t="n"/>
      <c r="S171" s="27" t="n"/>
      <c r="T171" s="27" t="n"/>
      <c r="U171" s="27" t="n"/>
    </row>
    <row r="172">
      <c r="A172" s="27" t="n"/>
      <c r="B172" s="15">
        <f>IFERROR(INDEX(Lists!$C$2:$C$21,MATCH(A172,Lists!$B$2:$B$21,0)),"")</f>
        <v/>
      </c>
      <c r="C172" s="27" t="n"/>
      <c r="D172" s="27" t="n"/>
      <c r="E172" s="27" t="n"/>
      <c r="F172" s="27" t="n"/>
      <c r="G172" s="27" t="n"/>
      <c r="H172" s="27" t="n"/>
      <c r="I172" s="28" t="n"/>
      <c r="J172" s="29" t="n"/>
      <c r="K172" s="30" t="n"/>
      <c r="L172" s="31">
        <f>I172*K172</f>
        <v/>
      </c>
      <c r="M172" s="30" t="n"/>
      <c r="N172" s="30" t="n"/>
      <c r="O172" s="31">
        <f>L172+M172+N172</f>
        <v/>
      </c>
      <c r="P172" s="29" t="n"/>
      <c r="Q172" s="32" t="n"/>
      <c r="R172" s="27" t="n"/>
      <c r="S172" s="27" t="n"/>
      <c r="T172" s="27" t="n"/>
      <c r="U172" s="27" t="n"/>
    </row>
    <row r="173">
      <c r="A173" s="27" t="n"/>
      <c r="B173" s="15">
        <f>IFERROR(INDEX(Lists!$C$2:$C$21,MATCH(A173,Lists!$B$2:$B$21,0)),"")</f>
        <v/>
      </c>
      <c r="C173" s="27" t="n"/>
      <c r="D173" s="27" t="n"/>
      <c r="E173" s="27" t="n"/>
      <c r="F173" s="27" t="n"/>
      <c r="G173" s="27" t="n"/>
      <c r="H173" s="27" t="n"/>
      <c r="I173" s="28" t="n"/>
      <c r="J173" s="29" t="n"/>
      <c r="K173" s="30" t="n"/>
      <c r="L173" s="31">
        <f>I173*K173</f>
        <v/>
      </c>
      <c r="M173" s="30" t="n"/>
      <c r="N173" s="30" t="n"/>
      <c r="O173" s="31">
        <f>L173+M173+N173</f>
        <v/>
      </c>
      <c r="P173" s="29" t="n"/>
      <c r="Q173" s="32" t="n"/>
      <c r="R173" s="27" t="n"/>
      <c r="S173" s="27" t="n"/>
      <c r="T173" s="27" t="n"/>
      <c r="U173" s="27" t="n"/>
    </row>
    <row r="174">
      <c r="A174" s="27" t="n"/>
      <c r="B174" s="15">
        <f>IFERROR(INDEX(Lists!$C$2:$C$21,MATCH(A174,Lists!$B$2:$B$21,0)),"")</f>
        <v/>
      </c>
      <c r="C174" s="27" t="n"/>
      <c r="D174" s="27" t="n"/>
      <c r="E174" s="27" t="n"/>
      <c r="F174" s="27" t="n"/>
      <c r="G174" s="27" t="n"/>
      <c r="H174" s="27" t="n"/>
      <c r="I174" s="28" t="n"/>
      <c r="J174" s="29" t="n"/>
      <c r="K174" s="30" t="n"/>
      <c r="L174" s="31">
        <f>I174*K174</f>
        <v/>
      </c>
      <c r="M174" s="30" t="n"/>
      <c r="N174" s="30" t="n"/>
      <c r="O174" s="31">
        <f>L174+M174+N174</f>
        <v/>
      </c>
      <c r="P174" s="29" t="n"/>
      <c r="Q174" s="32" t="n"/>
      <c r="R174" s="27" t="n"/>
      <c r="S174" s="27" t="n"/>
      <c r="T174" s="27" t="n"/>
      <c r="U174" s="27" t="n"/>
    </row>
    <row r="175">
      <c r="A175" s="27" t="n"/>
      <c r="B175" s="15">
        <f>IFERROR(INDEX(Lists!$C$2:$C$21,MATCH(A175,Lists!$B$2:$B$21,0)),"")</f>
        <v/>
      </c>
      <c r="C175" s="27" t="n"/>
      <c r="D175" s="27" t="n"/>
      <c r="E175" s="27" t="n"/>
      <c r="F175" s="27" t="n"/>
      <c r="G175" s="27" t="n"/>
      <c r="H175" s="27" t="n"/>
      <c r="I175" s="28" t="n"/>
      <c r="J175" s="29" t="n"/>
      <c r="K175" s="30" t="n"/>
      <c r="L175" s="31">
        <f>I175*K175</f>
        <v/>
      </c>
      <c r="M175" s="30" t="n"/>
      <c r="N175" s="30" t="n"/>
      <c r="O175" s="31">
        <f>L175+M175+N175</f>
        <v/>
      </c>
      <c r="P175" s="29" t="n"/>
      <c r="Q175" s="32" t="n"/>
      <c r="R175" s="27" t="n"/>
      <c r="S175" s="27" t="n"/>
      <c r="T175" s="27" t="n"/>
      <c r="U175" s="27" t="n"/>
    </row>
    <row r="176">
      <c r="A176" s="27" t="n"/>
      <c r="B176" s="15">
        <f>IFERROR(INDEX(Lists!$C$2:$C$21,MATCH(A176,Lists!$B$2:$B$21,0)),"")</f>
        <v/>
      </c>
      <c r="C176" s="27" t="n"/>
      <c r="D176" s="27" t="n"/>
      <c r="E176" s="27" t="n"/>
      <c r="F176" s="27" t="n"/>
      <c r="G176" s="27" t="n"/>
      <c r="H176" s="27" t="n"/>
      <c r="I176" s="28" t="n"/>
      <c r="J176" s="29" t="n"/>
      <c r="K176" s="30" t="n"/>
      <c r="L176" s="31">
        <f>I176*K176</f>
        <v/>
      </c>
      <c r="M176" s="30" t="n"/>
      <c r="N176" s="30" t="n"/>
      <c r="O176" s="31">
        <f>L176+M176+N176</f>
        <v/>
      </c>
      <c r="P176" s="29" t="n"/>
      <c r="Q176" s="32" t="n"/>
      <c r="R176" s="27" t="n"/>
      <c r="S176" s="27" t="n"/>
      <c r="T176" s="27" t="n"/>
      <c r="U176" s="27" t="n"/>
    </row>
    <row r="177">
      <c r="A177" s="27" t="n"/>
      <c r="B177" s="15">
        <f>IFERROR(INDEX(Lists!$C$2:$C$21,MATCH(A177,Lists!$B$2:$B$21,0)),"")</f>
        <v/>
      </c>
      <c r="C177" s="27" t="n"/>
      <c r="D177" s="27" t="n"/>
      <c r="E177" s="27" t="n"/>
      <c r="F177" s="27" t="n"/>
      <c r="G177" s="27" t="n"/>
      <c r="H177" s="27" t="n"/>
      <c r="I177" s="28" t="n"/>
      <c r="J177" s="29" t="n"/>
      <c r="K177" s="30" t="n"/>
      <c r="L177" s="31">
        <f>I177*K177</f>
        <v/>
      </c>
      <c r="M177" s="30" t="n"/>
      <c r="N177" s="30" t="n"/>
      <c r="O177" s="31">
        <f>L177+M177+N177</f>
        <v/>
      </c>
      <c r="P177" s="29" t="n"/>
      <c r="Q177" s="32" t="n"/>
      <c r="R177" s="27" t="n"/>
      <c r="S177" s="27" t="n"/>
      <c r="T177" s="27" t="n"/>
      <c r="U177" s="27" t="n"/>
    </row>
    <row r="178">
      <c r="A178" s="27" t="n"/>
      <c r="B178" s="15">
        <f>IFERROR(INDEX(Lists!$C$2:$C$21,MATCH(A178,Lists!$B$2:$B$21,0)),"")</f>
        <v/>
      </c>
      <c r="C178" s="27" t="n"/>
      <c r="D178" s="27" t="n"/>
      <c r="E178" s="27" t="n"/>
      <c r="F178" s="27" t="n"/>
      <c r="G178" s="27" t="n"/>
      <c r="H178" s="27" t="n"/>
      <c r="I178" s="28" t="n"/>
      <c r="J178" s="29" t="n"/>
      <c r="K178" s="30" t="n"/>
      <c r="L178" s="31">
        <f>I178*K178</f>
        <v/>
      </c>
      <c r="M178" s="30" t="n"/>
      <c r="N178" s="30" t="n"/>
      <c r="O178" s="31">
        <f>L178+M178+N178</f>
        <v/>
      </c>
      <c r="P178" s="29" t="n"/>
      <c r="Q178" s="32" t="n"/>
      <c r="R178" s="27" t="n"/>
      <c r="S178" s="27" t="n"/>
      <c r="T178" s="27" t="n"/>
      <c r="U178" s="27" t="n"/>
    </row>
    <row r="179">
      <c r="A179" s="27" t="n"/>
      <c r="B179" s="15">
        <f>IFERROR(INDEX(Lists!$C$2:$C$21,MATCH(A179,Lists!$B$2:$B$21,0)),"")</f>
        <v/>
      </c>
      <c r="C179" s="27" t="n"/>
      <c r="D179" s="27" t="n"/>
      <c r="E179" s="27" t="n"/>
      <c r="F179" s="27" t="n"/>
      <c r="G179" s="27" t="n"/>
      <c r="H179" s="27" t="n"/>
      <c r="I179" s="28" t="n"/>
      <c r="J179" s="29" t="n"/>
      <c r="K179" s="30" t="n"/>
      <c r="L179" s="31">
        <f>I179*K179</f>
        <v/>
      </c>
      <c r="M179" s="30" t="n"/>
      <c r="N179" s="30" t="n"/>
      <c r="O179" s="31">
        <f>L179+M179+N179</f>
        <v/>
      </c>
      <c r="P179" s="29" t="n"/>
      <c r="Q179" s="32" t="n"/>
      <c r="R179" s="27" t="n"/>
      <c r="S179" s="27" t="n"/>
      <c r="T179" s="27" t="n"/>
      <c r="U179" s="27" t="n"/>
    </row>
    <row r="180">
      <c r="A180" s="27" t="n"/>
      <c r="B180" s="15">
        <f>IFERROR(INDEX(Lists!$C$2:$C$21,MATCH(A180,Lists!$B$2:$B$21,0)),"")</f>
        <v/>
      </c>
      <c r="C180" s="27" t="n"/>
      <c r="D180" s="27" t="n"/>
      <c r="E180" s="27" t="n"/>
      <c r="F180" s="27" t="n"/>
      <c r="G180" s="27" t="n"/>
      <c r="H180" s="27" t="n"/>
      <c r="I180" s="28" t="n"/>
      <c r="J180" s="29" t="n"/>
      <c r="K180" s="30" t="n"/>
      <c r="L180" s="31">
        <f>I180*K180</f>
        <v/>
      </c>
      <c r="M180" s="30" t="n"/>
      <c r="N180" s="30" t="n"/>
      <c r="O180" s="31">
        <f>L180+M180+N180</f>
        <v/>
      </c>
      <c r="P180" s="29" t="n"/>
      <c r="Q180" s="32" t="n"/>
      <c r="R180" s="27" t="n"/>
      <c r="S180" s="27" t="n"/>
      <c r="T180" s="27" t="n"/>
      <c r="U180" s="27" t="n"/>
    </row>
    <row r="181">
      <c r="A181" s="27" t="n"/>
      <c r="B181" s="15">
        <f>IFERROR(INDEX(Lists!$C$2:$C$21,MATCH(A181,Lists!$B$2:$B$21,0)),"")</f>
        <v/>
      </c>
      <c r="C181" s="27" t="n"/>
      <c r="D181" s="27" t="n"/>
      <c r="E181" s="27" t="n"/>
      <c r="F181" s="27" t="n"/>
      <c r="G181" s="27" t="n"/>
      <c r="H181" s="27" t="n"/>
      <c r="I181" s="28" t="n"/>
      <c r="J181" s="29" t="n"/>
      <c r="K181" s="30" t="n"/>
      <c r="L181" s="31">
        <f>I181*K181</f>
        <v/>
      </c>
      <c r="M181" s="30" t="n"/>
      <c r="N181" s="30" t="n"/>
      <c r="O181" s="31">
        <f>L181+M181+N181</f>
        <v/>
      </c>
      <c r="P181" s="29" t="n"/>
      <c r="Q181" s="32" t="n"/>
      <c r="R181" s="27" t="n"/>
      <c r="S181" s="27" t="n"/>
      <c r="T181" s="27" t="n"/>
      <c r="U181" s="27" t="n"/>
    </row>
    <row r="182">
      <c r="A182" s="27" t="n"/>
      <c r="B182" s="15">
        <f>IFERROR(INDEX(Lists!$C$2:$C$21,MATCH(A182,Lists!$B$2:$B$21,0)),"")</f>
        <v/>
      </c>
      <c r="C182" s="27" t="n"/>
      <c r="D182" s="27" t="n"/>
      <c r="E182" s="27" t="n"/>
      <c r="F182" s="27" t="n"/>
      <c r="G182" s="27" t="n"/>
      <c r="H182" s="27" t="n"/>
      <c r="I182" s="28" t="n"/>
      <c r="J182" s="29" t="n"/>
      <c r="K182" s="30" t="n"/>
      <c r="L182" s="31">
        <f>I182*K182</f>
        <v/>
      </c>
      <c r="M182" s="30" t="n"/>
      <c r="N182" s="30" t="n"/>
      <c r="O182" s="31">
        <f>L182+M182+N182</f>
        <v/>
      </c>
      <c r="P182" s="29" t="n"/>
      <c r="Q182" s="32" t="n"/>
      <c r="R182" s="27" t="n"/>
      <c r="S182" s="27" t="n"/>
      <c r="T182" s="27" t="n"/>
      <c r="U182" s="27" t="n"/>
    </row>
    <row r="183">
      <c r="A183" s="27" t="n"/>
      <c r="B183" s="15">
        <f>IFERROR(INDEX(Lists!$C$2:$C$21,MATCH(A183,Lists!$B$2:$B$21,0)),"")</f>
        <v/>
      </c>
      <c r="C183" s="27" t="n"/>
      <c r="D183" s="27" t="n"/>
      <c r="E183" s="27" t="n"/>
      <c r="F183" s="27" t="n"/>
      <c r="G183" s="27" t="n"/>
      <c r="H183" s="27" t="n"/>
      <c r="I183" s="28" t="n"/>
      <c r="J183" s="29" t="n"/>
      <c r="K183" s="30" t="n"/>
      <c r="L183" s="31">
        <f>I183*K183</f>
        <v/>
      </c>
      <c r="M183" s="30" t="n"/>
      <c r="N183" s="30" t="n"/>
      <c r="O183" s="31">
        <f>L183+M183+N183</f>
        <v/>
      </c>
      <c r="P183" s="29" t="n"/>
      <c r="Q183" s="32" t="n"/>
      <c r="R183" s="27" t="n"/>
      <c r="S183" s="27" t="n"/>
      <c r="T183" s="27" t="n"/>
      <c r="U183" s="27" t="n"/>
    </row>
    <row r="184">
      <c r="A184" s="27" t="n"/>
      <c r="B184" s="15">
        <f>IFERROR(INDEX(Lists!$C$2:$C$21,MATCH(A184,Lists!$B$2:$B$21,0)),"")</f>
        <v/>
      </c>
      <c r="C184" s="27" t="n"/>
      <c r="D184" s="27" t="n"/>
      <c r="E184" s="27" t="n"/>
      <c r="F184" s="27" t="n"/>
      <c r="G184" s="27" t="n"/>
      <c r="H184" s="27" t="n"/>
      <c r="I184" s="28" t="n"/>
      <c r="J184" s="29" t="n"/>
      <c r="K184" s="30" t="n"/>
      <c r="L184" s="31">
        <f>I184*K184</f>
        <v/>
      </c>
      <c r="M184" s="30" t="n"/>
      <c r="N184" s="30" t="n"/>
      <c r="O184" s="31">
        <f>L184+M184+N184</f>
        <v/>
      </c>
      <c r="P184" s="29" t="n"/>
      <c r="Q184" s="32" t="n"/>
      <c r="R184" s="27" t="n"/>
      <c r="S184" s="27" t="n"/>
      <c r="T184" s="27" t="n"/>
      <c r="U184" s="27" t="n"/>
    </row>
    <row r="185">
      <c r="A185" s="27" t="n"/>
      <c r="B185" s="15">
        <f>IFERROR(INDEX(Lists!$C$2:$C$21,MATCH(A185,Lists!$B$2:$B$21,0)),"")</f>
        <v/>
      </c>
      <c r="C185" s="27" t="n"/>
      <c r="D185" s="27" t="n"/>
      <c r="E185" s="27" t="n"/>
      <c r="F185" s="27" t="n"/>
      <c r="G185" s="27" t="n"/>
      <c r="H185" s="27" t="n"/>
      <c r="I185" s="28" t="n"/>
      <c r="J185" s="29" t="n"/>
      <c r="K185" s="30" t="n"/>
      <c r="L185" s="31">
        <f>I185*K185</f>
        <v/>
      </c>
      <c r="M185" s="30" t="n"/>
      <c r="N185" s="30" t="n"/>
      <c r="O185" s="31">
        <f>L185+M185+N185</f>
        <v/>
      </c>
      <c r="P185" s="29" t="n"/>
      <c r="Q185" s="32" t="n"/>
      <c r="R185" s="27" t="n"/>
      <c r="S185" s="27" t="n"/>
      <c r="T185" s="27" t="n"/>
      <c r="U185" s="27" t="n"/>
    </row>
    <row r="186">
      <c r="A186" s="27" t="n"/>
      <c r="B186" s="15">
        <f>IFERROR(INDEX(Lists!$C$2:$C$21,MATCH(A186,Lists!$B$2:$B$21,0)),"")</f>
        <v/>
      </c>
      <c r="C186" s="27" t="n"/>
      <c r="D186" s="27" t="n"/>
      <c r="E186" s="27" t="n"/>
      <c r="F186" s="27" t="n"/>
      <c r="G186" s="27" t="n"/>
      <c r="H186" s="27" t="n"/>
      <c r="I186" s="28" t="n"/>
      <c r="J186" s="29" t="n"/>
      <c r="K186" s="30" t="n"/>
      <c r="L186" s="31">
        <f>I186*K186</f>
        <v/>
      </c>
      <c r="M186" s="30" t="n"/>
      <c r="N186" s="30" t="n"/>
      <c r="O186" s="31">
        <f>L186+M186+N186</f>
        <v/>
      </c>
      <c r="P186" s="29" t="n"/>
      <c r="Q186" s="32" t="n"/>
      <c r="R186" s="27" t="n"/>
      <c r="S186" s="27" t="n"/>
      <c r="T186" s="27" t="n"/>
      <c r="U186" s="27" t="n"/>
    </row>
    <row r="187">
      <c r="A187" s="27" t="n"/>
      <c r="B187" s="15">
        <f>IFERROR(INDEX(Lists!$C$2:$C$21,MATCH(A187,Lists!$B$2:$B$21,0)),"")</f>
        <v/>
      </c>
      <c r="C187" s="27" t="n"/>
      <c r="D187" s="27" t="n"/>
      <c r="E187" s="27" t="n"/>
      <c r="F187" s="27" t="n"/>
      <c r="G187" s="27" t="n"/>
      <c r="H187" s="27" t="n"/>
      <c r="I187" s="28" t="n"/>
      <c r="J187" s="29" t="n"/>
      <c r="K187" s="30" t="n"/>
      <c r="L187" s="31">
        <f>I187*K187</f>
        <v/>
      </c>
      <c r="M187" s="30" t="n"/>
      <c r="N187" s="30" t="n"/>
      <c r="O187" s="31">
        <f>L187+M187+N187</f>
        <v/>
      </c>
      <c r="P187" s="29" t="n"/>
      <c r="Q187" s="32" t="n"/>
      <c r="R187" s="27" t="n"/>
      <c r="S187" s="27" t="n"/>
      <c r="T187" s="27" t="n"/>
      <c r="U187" s="27" t="n"/>
    </row>
    <row r="188">
      <c r="A188" s="27" t="n"/>
      <c r="B188" s="15">
        <f>IFERROR(INDEX(Lists!$C$2:$C$21,MATCH(A188,Lists!$B$2:$B$21,0)),"")</f>
        <v/>
      </c>
      <c r="C188" s="27" t="n"/>
      <c r="D188" s="27" t="n"/>
      <c r="E188" s="27" t="n"/>
      <c r="F188" s="27" t="n"/>
      <c r="G188" s="27" t="n"/>
      <c r="H188" s="27" t="n"/>
      <c r="I188" s="28" t="n"/>
      <c r="J188" s="29" t="n"/>
      <c r="K188" s="30" t="n"/>
      <c r="L188" s="31">
        <f>I188*K188</f>
        <v/>
      </c>
      <c r="M188" s="30" t="n"/>
      <c r="N188" s="30" t="n"/>
      <c r="O188" s="31">
        <f>L188+M188+N188</f>
        <v/>
      </c>
      <c r="P188" s="29" t="n"/>
      <c r="Q188" s="32" t="n"/>
      <c r="R188" s="27" t="n"/>
      <c r="S188" s="27" t="n"/>
      <c r="T188" s="27" t="n"/>
      <c r="U188" s="27" t="n"/>
    </row>
    <row r="189">
      <c r="A189" s="27" t="n"/>
      <c r="B189" s="15">
        <f>IFERROR(INDEX(Lists!$C$2:$C$21,MATCH(A189,Lists!$B$2:$B$21,0)),"")</f>
        <v/>
      </c>
      <c r="C189" s="27" t="n"/>
      <c r="D189" s="27" t="n"/>
      <c r="E189" s="27" t="n"/>
      <c r="F189" s="27" t="n"/>
      <c r="G189" s="27" t="n"/>
      <c r="H189" s="27" t="n"/>
      <c r="I189" s="28" t="n"/>
      <c r="J189" s="29" t="n"/>
      <c r="K189" s="30" t="n"/>
      <c r="L189" s="31">
        <f>I189*K189</f>
        <v/>
      </c>
      <c r="M189" s="30" t="n"/>
      <c r="N189" s="30" t="n"/>
      <c r="O189" s="31">
        <f>L189+M189+N189</f>
        <v/>
      </c>
      <c r="P189" s="29" t="n"/>
      <c r="Q189" s="32" t="n"/>
      <c r="R189" s="27" t="n"/>
      <c r="S189" s="27" t="n"/>
      <c r="T189" s="27" t="n"/>
      <c r="U189" s="27" t="n"/>
    </row>
    <row r="190">
      <c r="A190" s="27" t="n"/>
      <c r="B190" s="15">
        <f>IFERROR(INDEX(Lists!$C$2:$C$21,MATCH(A190,Lists!$B$2:$B$21,0)),"")</f>
        <v/>
      </c>
      <c r="C190" s="27" t="n"/>
      <c r="D190" s="27" t="n"/>
      <c r="E190" s="27" t="n"/>
      <c r="F190" s="27" t="n"/>
      <c r="G190" s="27" t="n"/>
      <c r="H190" s="27" t="n"/>
      <c r="I190" s="28" t="n"/>
      <c r="J190" s="29" t="n"/>
      <c r="K190" s="30" t="n"/>
      <c r="L190" s="31">
        <f>I190*K190</f>
        <v/>
      </c>
      <c r="M190" s="30" t="n"/>
      <c r="N190" s="30" t="n"/>
      <c r="O190" s="31">
        <f>L190+M190+N190</f>
        <v/>
      </c>
      <c r="P190" s="29" t="n"/>
      <c r="Q190" s="32" t="n"/>
      <c r="R190" s="27" t="n"/>
      <c r="S190" s="27" t="n"/>
      <c r="T190" s="27" t="n"/>
      <c r="U190" s="27" t="n"/>
    </row>
    <row r="191">
      <c r="A191" s="27" t="n"/>
      <c r="B191" s="15">
        <f>IFERROR(INDEX(Lists!$C$2:$C$21,MATCH(A191,Lists!$B$2:$B$21,0)),"")</f>
        <v/>
      </c>
      <c r="C191" s="27" t="n"/>
      <c r="D191" s="27" t="n"/>
      <c r="E191" s="27" t="n"/>
      <c r="F191" s="27" t="n"/>
      <c r="G191" s="27" t="n"/>
      <c r="H191" s="27" t="n"/>
      <c r="I191" s="28" t="n"/>
      <c r="J191" s="29" t="n"/>
      <c r="K191" s="30" t="n"/>
      <c r="L191" s="31">
        <f>I191*K191</f>
        <v/>
      </c>
      <c r="M191" s="30" t="n"/>
      <c r="N191" s="30" t="n"/>
      <c r="O191" s="31">
        <f>L191+M191+N191</f>
        <v/>
      </c>
      <c r="P191" s="29" t="n"/>
      <c r="Q191" s="32" t="n"/>
      <c r="R191" s="27" t="n"/>
      <c r="S191" s="27" t="n"/>
      <c r="T191" s="27" t="n"/>
      <c r="U191" s="27" t="n"/>
    </row>
    <row r="192">
      <c r="A192" s="27" t="n"/>
      <c r="B192" s="15">
        <f>IFERROR(INDEX(Lists!$C$2:$C$21,MATCH(A192,Lists!$B$2:$B$21,0)),"")</f>
        <v/>
      </c>
      <c r="C192" s="27" t="n"/>
      <c r="D192" s="27" t="n"/>
      <c r="E192" s="27" t="n"/>
      <c r="F192" s="27" t="n"/>
      <c r="G192" s="27" t="n"/>
      <c r="H192" s="27" t="n"/>
      <c r="I192" s="28" t="n"/>
      <c r="J192" s="29" t="n"/>
      <c r="K192" s="30" t="n"/>
      <c r="L192" s="31">
        <f>I192*K192</f>
        <v/>
      </c>
      <c r="M192" s="30" t="n"/>
      <c r="N192" s="30" t="n"/>
      <c r="O192" s="31">
        <f>L192+M192+N192</f>
        <v/>
      </c>
      <c r="P192" s="29" t="n"/>
      <c r="Q192" s="32" t="n"/>
      <c r="R192" s="27" t="n"/>
      <c r="S192" s="27" t="n"/>
      <c r="T192" s="27" t="n"/>
      <c r="U192" s="27" t="n"/>
    </row>
    <row r="193">
      <c r="A193" s="27" t="n"/>
      <c r="B193" s="15">
        <f>IFERROR(INDEX(Lists!$C$2:$C$21,MATCH(A193,Lists!$B$2:$B$21,0)),"")</f>
        <v/>
      </c>
      <c r="C193" s="27" t="n"/>
      <c r="D193" s="27" t="n"/>
      <c r="E193" s="27" t="n"/>
      <c r="F193" s="27" t="n"/>
      <c r="G193" s="27" t="n"/>
      <c r="H193" s="27" t="n"/>
      <c r="I193" s="28" t="n"/>
      <c r="J193" s="29" t="n"/>
      <c r="K193" s="30" t="n"/>
      <c r="L193" s="31">
        <f>I193*K193</f>
        <v/>
      </c>
      <c r="M193" s="30" t="n"/>
      <c r="N193" s="30" t="n"/>
      <c r="O193" s="31">
        <f>L193+M193+N193</f>
        <v/>
      </c>
      <c r="P193" s="29" t="n"/>
      <c r="Q193" s="32" t="n"/>
      <c r="R193" s="27" t="n"/>
      <c r="S193" s="27" t="n"/>
      <c r="T193" s="27" t="n"/>
      <c r="U193" s="27" t="n"/>
    </row>
    <row r="194">
      <c r="A194" s="27" t="n"/>
      <c r="B194" s="15">
        <f>IFERROR(INDEX(Lists!$C$2:$C$21,MATCH(A194,Lists!$B$2:$B$21,0)),"")</f>
        <v/>
      </c>
      <c r="C194" s="27" t="n"/>
      <c r="D194" s="27" t="n"/>
      <c r="E194" s="27" t="n"/>
      <c r="F194" s="27" t="n"/>
      <c r="G194" s="27" t="n"/>
      <c r="H194" s="27" t="n"/>
      <c r="I194" s="28" t="n"/>
      <c r="J194" s="29" t="n"/>
      <c r="K194" s="30" t="n"/>
      <c r="L194" s="31">
        <f>I194*K194</f>
        <v/>
      </c>
      <c r="M194" s="30" t="n"/>
      <c r="N194" s="30" t="n"/>
      <c r="O194" s="31">
        <f>L194+M194+N194</f>
        <v/>
      </c>
      <c r="P194" s="29" t="n"/>
      <c r="Q194" s="32" t="n"/>
      <c r="R194" s="27" t="n"/>
      <c r="S194" s="27" t="n"/>
      <c r="T194" s="27" t="n"/>
      <c r="U194" s="27" t="n"/>
    </row>
    <row r="195">
      <c r="A195" s="27" t="n"/>
      <c r="B195" s="15">
        <f>IFERROR(INDEX(Lists!$C$2:$C$21,MATCH(A195,Lists!$B$2:$B$21,0)),"")</f>
        <v/>
      </c>
      <c r="C195" s="27" t="n"/>
      <c r="D195" s="27" t="n"/>
      <c r="E195" s="27" t="n"/>
      <c r="F195" s="27" t="n"/>
      <c r="G195" s="27" t="n"/>
      <c r="H195" s="27" t="n"/>
      <c r="I195" s="28" t="n"/>
      <c r="J195" s="29" t="n"/>
      <c r="K195" s="30" t="n"/>
      <c r="L195" s="31">
        <f>I195*K195</f>
        <v/>
      </c>
      <c r="M195" s="30" t="n"/>
      <c r="N195" s="30" t="n"/>
      <c r="O195" s="31">
        <f>L195+M195+N195</f>
        <v/>
      </c>
      <c r="P195" s="29" t="n"/>
      <c r="Q195" s="32" t="n"/>
      <c r="R195" s="27" t="n"/>
      <c r="S195" s="27" t="n"/>
      <c r="T195" s="27" t="n"/>
      <c r="U195" s="27" t="n"/>
    </row>
    <row r="196">
      <c r="A196" s="27" t="n"/>
      <c r="B196" s="15">
        <f>IFERROR(INDEX(Lists!$C$2:$C$21,MATCH(A196,Lists!$B$2:$B$21,0)),"")</f>
        <v/>
      </c>
      <c r="C196" s="27" t="n"/>
      <c r="D196" s="27" t="n"/>
      <c r="E196" s="27" t="n"/>
      <c r="F196" s="27" t="n"/>
      <c r="G196" s="27" t="n"/>
      <c r="H196" s="27" t="n"/>
      <c r="I196" s="28" t="n"/>
      <c r="J196" s="29" t="n"/>
      <c r="K196" s="30" t="n"/>
      <c r="L196" s="31">
        <f>I196*K196</f>
        <v/>
      </c>
      <c r="M196" s="30" t="n"/>
      <c r="N196" s="30" t="n"/>
      <c r="O196" s="31">
        <f>L196+M196+N196</f>
        <v/>
      </c>
      <c r="P196" s="29" t="n"/>
      <c r="Q196" s="32" t="n"/>
      <c r="R196" s="27" t="n"/>
      <c r="S196" s="27" t="n"/>
      <c r="T196" s="27" t="n"/>
      <c r="U196" s="27" t="n"/>
    </row>
    <row r="197">
      <c r="A197" s="27" t="n"/>
      <c r="B197" s="15">
        <f>IFERROR(INDEX(Lists!$C$2:$C$21,MATCH(A197,Lists!$B$2:$B$21,0)),"")</f>
        <v/>
      </c>
      <c r="C197" s="27" t="n"/>
      <c r="D197" s="27" t="n"/>
      <c r="E197" s="27" t="n"/>
      <c r="F197" s="27" t="n"/>
      <c r="G197" s="27" t="n"/>
      <c r="H197" s="27" t="n"/>
      <c r="I197" s="28" t="n"/>
      <c r="J197" s="29" t="n"/>
      <c r="K197" s="30" t="n"/>
      <c r="L197" s="31">
        <f>I197*K197</f>
        <v/>
      </c>
      <c r="M197" s="30" t="n"/>
      <c r="N197" s="30" t="n"/>
      <c r="O197" s="31">
        <f>L197+M197+N197</f>
        <v/>
      </c>
      <c r="P197" s="29" t="n"/>
      <c r="Q197" s="32" t="n"/>
      <c r="R197" s="27" t="n"/>
      <c r="S197" s="27" t="n"/>
      <c r="T197" s="27" t="n"/>
      <c r="U197" s="27" t="n"/>
    </row>
    <row r="198">
      <c r="A198" s="27" t="n"/>
      <c r="B198" s="15">
        <f>IFERROR(INDEX(Lists!$C$2:$C$21,MATCH(A198,Lists!$B$2:$B$21,0)),"")</f>
        <v/>
      </c>
      <c r="C198" s="27" t="n"/>
      <c r="D198" s="27" t="n"/>
      <c r="E198" s="27" t="n"/>
      <c r="F198" s="27" t="n"/>
      <c r="G198" s="27" t="n"/>
      <c r="H198" s="27" t="n"/>
      <c r="I198" s="28" t="n"/>
      <c r="J198" s="29" t="n"/>
      <c r="K198" s="30" t="n"/>
      <c r="L198" s="31">
        <f>I198*K198</f>
        <v/>
      </c>
      <c r="M198" s="30" t="n"/>
      <c r="N198" s="30" t="n"/>
      <c r="O198" s="31">
        <f>L198+M198+N198</f>
        <v/>
      </c>
      <c r="P198" s="29" t="n"/>
      <c r="Q198" s="32" t="n"/>
      <c r="R198" s="27" t="n"/>
      <c r="S198" s="27" t="n"/>
      <c r="T198" s="27" t="n"/>
      <c r="U198" s="27" t="n"/>
    </row>
    <row r="199">
      <c r="A199" s="27" t="n"/>
      <c r="B199" s="15">
        <f>IFERROR(INDEX(Lists!$C$2:$C$21,MATCH(A199,Lists!$B$2:$B$21,0)),"")</f>
        <v/>
      </c>
      <c r="C199" s="27" t="n"/>
      <c r="D199" s="27" t="n"/>
      <c r="E199" s="27" t="n"/>
      <c r="F199" s="27" t="n"/>
      <c r="G199" s="27" t="n"/>
      <c r="H199" s="27" t="n"/>
      <c r="I199" s="28" t="n"/>
      <c r="J199" s="29" t="n"/>
      <c r="K199" s="30" t="n"/>
      <c r="L199" s="31">
        <f>I199*K199</f>
        <v/>
      </c>
      <c r="M199" s="30" t="n"/>
      <c r="N199" s="30" t="n"/>
      <c r="O199" s="31">
        <f>L199+M199+N199</f>
        <v/>
      </c>
      <c r="P199" s="29" t="n"/>
      <c r="Q199" s="32" t="n"/>
      <c r="R199" s="27" t="n"/>
      <c r="S199" s="27" t="n"/>
      <c r="T199" s="27" t="n"/>
      <c r="U199" s="27" t="n"/>
    </row>
    <row r="200">
      <c r="A200" s="27" t="n"/>
      <c r="B200" s="15">
        <f>IFERROR(INDEX(Lists!$C$2:$C$21,MATCH(A200,Lists!$B$2:$B$21,0)),"")</f>
        <v/>
      </c>
      <c r="C200" s="27" t="n"/>
      <c r="D200" s="27" t="n"/>
      <c r="E200" s="27" t="n"/>
      <c r="F200" s="27" t="n"/>
      <c r="G200" s="27" t="n"/>
      <c r="H200" s="27" t="n"/>
      <c r="I200" s="28" t="n"/>
      <c r="J200" s="29" t="n"/>
      <c r="K200" s="30" t="n"/>
      <c r="L200" s="31">
        <f>I200*K200</f>
        <v/>
      </c>
      <c r="M200" s="30" t="n"/>
      <c r="N200" s="30" t="n"/>
      <c r="O200" s="31">
        <f>L200+M200+N200</f>
        <v/>
      </c>
      <c r="P200" s="29" t="n"/>
      <c r="Q200" s="32" t="n"/>
      <c r="R200" s="27" t="n"/>
      <c r="S200" s="27" t="n"/>
      <c r="T200" s="27" t="n"/>
      <c r="U200" s="27" t="n"/>
    </row>
    <row r="201">
      <c r="A201" s="27" t="n"/>
      <c r="B201" s="15">
        <f>IFERROR(INDEX(Lists!$C$2:$C$21,MATCH(A201,Lists!$B$2:$B$21,0)),"")</f>
        <v/>
      </c>
      <c r="C201" s="27" t="n"/>
      <c r="D201" s="27" t="n"/>
      <c r="E201" s="27" t="n"/>
      <c r="F201" s="27" t="n"/>
      <c r="G201" s="27" t="n"/>
      <c r="H201" s="27" t="n"/>
      <c r="I201" s="28" t="n"/>
      <c r="J201" s="29" t="n"/>
      <c r="K201" s="30" t="n"/>
      <c r="L201" s="31">
        <f>I201*K201</f>
        <v/>
      </c>
      <c r="M201" s="30" t="n"/>
      <c r="N201" s="30" t="n"/>
      <c r="O201" s="31">
        <f>L201+M201+N201</f>
        <v/>
      </c>
      <c r="P201" s="29" t="n"/>
      <c r="Q201" s="32" t="n"/>
      <c r="R201" s="27" t="n"/>
      <c r="S201" s="27" t="n"/>
      <c r="T201" s="27" t="n"/>
      <c r="U201" s="27" t="n"/>
    </row>
    <row r="202">
      <c r="A202" s="27" t="n"/>
      <c r="B202" s="15">
        <f>IFERROR(INDEX(Lists!$C$2:$C$21,MATCH(A202,Lists!$B$2:$B$21,0)),"")</f>
        <v/>
      </c>
      <c r="C202" s="27" t="n"/>
      <c r="D202" s="27" t="n"/>
      <c r="E202" s="27" t="n"/>
      <c r="F202" s="27" t="n"/>
      <c r="G202" s="27" t="n"/>
      <c r="H202" s="27" t="n"/>
      <c r="I202" s="28" t="n"/>
      <c r="J202" s="29" t="n"/>
      <c r="K202" s="30" t="n"/>
      <c r="L202" s="31">
        <f>I202*K202</f>
        <v/>
      </c>
      <c r="M202" s="30" t="n"/>
      <c r="N202" s="30" t="n"/>
      <c r="O202" s="31">
        <f>L202+M202+N202</f>
        <v/>
      </c>
      <c r="P202" s="29" t="n"/>
      <c r="Q202" s="32" t="n"/>
      <c r="R202" s="27" t="n"/>
      <c r="S202" s="27" t="n"/>
      <c r="T202" s="27" t="n"/>
      <c r="U202" s="27" t="n"/>
    </row>
    <row r="203">
      <c r="A203" s="27" t="n"/>
      <c r="B203" s="15">
        <f>IFERROR(INDEX(Lists!$C$2:$C$21,MATCH(A203,Lists!$B$2:$B$21,0)),"")</f>
        <v/>
      </c>
      <c r="C203" s="27" t="n"/>
      <c r="D203" s="27" t="n"/>
      <c r="E203" s="27" t="n"/>
      <c r="F203" s="27" t="n"/>
      <c r="G203" s="27" t="n"/>
      <c r="H203" s="27" t="n"/>
      <c r="I203" s="28" t="n"/>
      <c r="J203" s="29" t="n"/>
      <c r="K203" s="30" t="n"/>
      <c r="L203" s="31">
        <f>I203*K203</f>
        <v/>
      </c>
      <c r="M203" s="30" t="n"/>
      <c r="N203" s="30" t="n"/>
      <c r="O203" s="31">
        <f>L203+M203+N203</f>
        <v/>
      </c>
      <c r="P203" s="29" t="n"/>
      <c r="Q203" s="32" t="n"/>
      <c r="R203" s="27" t="n"/>
      <c r="S203" s="27" t="n"/>
      <c r="T203" s="27" t="n"/>
      <c r="U203" s="27" t="n"/>
    </row>
    <row r="204">
      <c r="A204" s="27" t="n"/>
      <c r="B204" s="15">
        <f>IFERROR(INDEX(Lists!$C$2:$C$21,MATCH(A204,Lists!$B$2:$B$21,0)),"")</f>
        <v/>
      </c>
      <c r="C204" s="27" t="n"/>
      <c r="D204" s="27" t="n"/>
      <c r="E204" s="27" t="n"/>
      <c r="F204" s="27" t="n"/>
      <c r="G204" s="27" t="n"/>
      <c r="H204" s="27" t="n"/>
      <c r="I204" s="28" t="n"/>
      <c r="J204" s="29" t="n"/>
      <c r="K204" s="30" t="n"/>
      <c r="L204" s="31">
        <f>I204*K204</f>
        <v/>
      </c>
      <c r="M204" s="30" t="n"/>
      <c r="N204" s="30" t="n"/>
      <c r="O204" s="31">
        <f>L204+M204+N204</f>
        <v/>
      </c>
      <c r="P204" s="29" t="n"/>
      <c r="Q204" s="32" t="n"/>
      <c r="R204" s="27" t="n"/>
      <c r="S204" s="27" t="n"/>
      <c r="T204" s="27" t="n"/>
      <c r="U204" s="27" t="n"/>
    </row>
    <row r="205">
      <c r="A205" s="27" t="n"/>
      <c r="B205" s="15">
        <f>IFERROR(INDEX(Lists!$C$2:$C$21,MATCH(A205,Lists!$B$2:$B$21,0)),"")</f>
        <v/>
      </c>
      <c r="C205" s="27" t="n"/>
      <c r="D205" s="27" t="n"/>
      <c r="E205" s="27" t="n"/>
      <c r="F205" s="27" t="n"/>
      <c r="G205" s="27" t="n"/>
      <c r="H205" s="27" t="n"/>
      <c r="I205" s="28" t="n"/>
      <c r="J205" s="29" t="n"/>
      <c r="K205" s="30" t="n"/>
      <c r="L205" s="31">
        <f>I205*K205</f>
        <v/>
      </c>
      <c r="M205" s="30" t="n"/>
      <c r="N205" s="30" t="n"/>
      <c r="O205" s="31">
        <f>L205+M205+N205</f>
        <v/>
      </c>
      <c r="P205" s="29" t="n"/>
      <c r="Q205" s="32" t="n"/>
      <c r="R205" s="27" t="n"/>
      <c r="S205" s="27" t="n"/>
      <c r="T205" s="27" t="n"/>
      <c r="U205" s="27" t="n"/>
    </row>
    <row r="206">
      <c r="A206" s="27" t="n"/>
      <c r="B206" s="15">
        <f>IFERROR(INDEX(Lists!$C$2:$C$21,MATCH(A206,Lists!$B$2:$B$21,0)),"")</f>
        <v/>
      </c>
      <c r="C206" s="27" t="n"/>
      <c r="D206" s="27" t="n"/>
      <c r="E206" s="27" t="n"/>
      <c r="F206" s="27" t="n"/>
      <c r="G206" s="27" t="n"/>
      <c r="H206" s="27" t="n"/>
      <c r="I206" s="28" t="n"/>
      <c r="J206" s="29" t="n"/>
      <c r="K206" s="30" t="n"/>
      <c r="L206" s="31">
        <f>I206*K206</f>
        <v/>
      </c>
      <c r="M206" s="30" t="n"/>
      <c r="N206" s="30" t="n"/>
      <c r="O206" s="31">
        <f>L206+M206+N206</f>
        <v/>
      </c>
      <c r="P206" s="29" t="n"/>
      <c r="Q206" s="32" t="n"/>
      <c r="R206" s="27" t="n"/>
      <c r="S206" s="27" t="n"/>
      <c r="T206" s="27" t="n"/>
      <c r="U206" s="27" t="n"/>
    </row>
    <row r="207">
      <c r="A207" s="27" t="n"/>
      <c r="B207" s="15">
        <f>IFERROR(INDEX(Lists!$C$2:$C$21,MATCH(A207,Lists!$B$2:$B$21,0)),"")</f>
        <v/>
      </c>
      <c r="C207" s="27" t="n"/>
      <c r="D207" s="27" t="n"/>
      <c r="E207" s="27" t="n"/>
      <c r="F207" s="27" t="n"/>
      <c r="G207" s="27" t="n"/>
      <c r="H207" s="27" t="n"/>
      <c r="I207" s="28" t="n"/>
      <c r="J207" s="29" t="n"/>
      <c r="K207" s="30" t="n"/>
      <c r="L207" s="31">
        <f>I207*K207</f>
        <v/>
      </c>
      <c r="M207" s="30" t="n"/>
      <c r="N207" s="30" t="n"/>
      <c r="O207" s="31">
        <f>L207+M207+N207</f>
        <v/>
      </c>
      <c r="P207" s="29" t="n"/>
      <c r="Q207" s="32" t="n"/>
      <c r="R207" s="27" t="n"/>
      <c r="S207" s="27" t="n"/>
      <c r="T207" s="27" t="n"/>
      <c r="U207" s="27" t="n"/>
    </row>
    <row r="208">
      <c r="A208" s="27" t="n"/>
      <c r="B208" s="15">
        <f>IFERROR(INDEX(Lists!$C$2:$C$21,MATCH(A208,Lists!$B$2:$B$21,0)),"")</f>
        <v/>
      </c>
      <c r="C208" s="27" t="n"/>
      <c r="D208" s="27" t="n"/>
      <c r="E208" s="27" t="n"/>
      <c r="F208" s="27" t="n"/>
      <c r="G208" s="27" t="n"/>
      <c r="H208" s="27" t="n"/>
      <c r="I208" s="28" t="n"/>
      <c r="J208" s="29" t="n"/>
      <c r="K208" s="30" t="n"/>
      <c r="L208" s="31">
        <f>I208*K208</f>
        <v/>
      </c>
      <c r="M208" s="30" t="n"/>
      <c r="N208" s="30" t="n"/>
      <c r="O208" s="31">
        <f>L208+M208+N208</f>
        <v/>
      </c>
      <c r="P208" s="29" t="n"/>
      <c r="Q208" s="32" t="n"/>
      <c r="R208" s="27" t="n"/>
      <c r="S208" s="27" t="n"/>
      <c r="T208" s="27" t="n"/>
      <c r="U208" s="27" t="n"/>
    </row>
    <row r="209">
      <c r="A209" s="27" t="n"/>
      <c r="B209" s="15">
        <f>IFERROR(INDEX(Lists!$C$2:$C$21,MATCH(A209,Lists!$B$2:$B$21,0)),"")</f>
        <v/>
      </c>
      <c r="C209" s="27" t="n"/>
      <c r="D209" s="27" t="n"/>
      <c r="E209" s="27" t="n"/>
      <c r="F209" s="27" t="n"/>
      <c r="G209" s="27" t="n"/>
      <c r="H209" s="27" t="n"/>
      <c r="I209" s="28" t="n"/>
      <c r="J209" s="29" t="n"/>
      <c r="K209" s="30" t="n"/>
      <c r="L209" s="31">
        <f>I209*K209</f>
        <v/>
      </c>
      <c r="M209" s="30" t="n"/>
      <c r="N209" s="30" t="n"/>
      <c r="O209" s="31">
        <f>L209+M209+N209</f>
        <v/>
      </c>
      <c r="P209" s="29" t="n"/>
      <c r="Q209" s="32" t="n"/>
      <c r="R209" s="27" t="n"/>
      <c r="S209" s="27" t="n"/>
      <c r="T209" s="27" t="n"/>
      <c r="U209" s="27" t="n"/>
    </row>
    <row r="210">
      <c r="A210" s="27" t="n"/>
      <c r="B210" s="15">
        <f>IFERROR(INDEX(Lists!$C$2:$C$21,MATCH(A210,Lists!$B$2:$B$21,0)),"")</f>
        <v/>
      </c>
      <c r="C210" s="27" t="n"/>
      <c r="D210" s="27" t="n"/>
      <c r="E210" s="27" t="n"/>
      <c r="F210" s="27" t="n"/>
      <c r="G210" s="27" t="n"/>
      <c r="H210" s="27" t="n"/>
      <c r="I210" s="28" t="n"/>
      <c r="J210" s="29" t="n"/>
      <c r="K210" s="30" t="n"/>
      <c r="L210" s="31">
        <f>I210*K210</f>
        <v/>
      </c>
      <c r="M210" s="30" t="n"/>
      <c r="N210" s="30" t="n"/>
      <c r="O210" s="31">
        <f>L210+M210+N210</f>
        <v/>
      </c>
      <c r="P210" s="29" t="n"/>
      <c r="Q210" s="32" t="n"/>
      <c r="R210" s="27" t="n"/>
      <c r="S210" s="27" t="n"/>
      <c r="T210" s="27" t="n"/>
      <c r="U210" s="27" t="n"/>
    </row>
    <row r="211">
      <c r="A211" s="27" t="n"/>
      <c r="B211" s="15">
        <f>IFERROR(INDEX(Lists!$C$2:$C$21,MATCH(A211,Lists!$B$2:$B$21,0)),"")</f>
        <v/>
      </c>
      <c r="C211" s="27" t="n"/>
      <c r="D211" s="27" t="n"/>
      <c r="E211" s="27" t="n"/>
      <c r="F211" s="27" t="n"/>
      <c r="G211" s="27" t="n"/>
      <c r="H211" s="27" t="n"/>
      <c r="I211" s="28" t="n"/>
      <c r="J211" s="29" t="n"/>
      <c r="K211" s="30" t="n"/>
      <c r="L211" s="31">
        <f>I211*K211</f>
        <v/>
      </c>
      <c r="M211" s="30" t="n"/>
      <c r="N211" s="30" t="n"/>
      <c r="O211" s="31">
        <f>L211+M211+N211</f>
        <v/>
      </c>
      <c r="P211" s="29" t="n"/>
      <c r="Q211" s="32" t="n"/>
      <c r="R211" s="27" t="n"/>
      <c r="S211" s="27" t="n"/>
      <c r="T211" s="27" t="n"/>
      <c r="U211" s="27" t="n"/>
    </row>
    <row r="212">
      <c r="A212" s="27" t="n"/>
      <c r="B212" s="15">
        <f>IFERROR(INDEX(Lists!$C$2:$C$21,MATCH(A212,Lists!$B$2:$B$21,0)),"")</f>
        <v/>
      </c>
      <c r="C212" s="27" t="n"/>
      <c r="D212" s="27" t="n"/>
      <c r="E212" s="27" t="n"/>
      <c r="F212" s="27" t="n"/>
      <c r="G212" s="27" t="n"/>
      <c r="H212" s="27" t="n"/>
      <c r="I212" s="28" t="n"/>
      <c r="J212" s="29" t="n"/>
      <c r="K212" s="30" t="n"/>
      <c r="L212" s="31">
        <f>I212*K212</f>
        <v/>
      </c>
      <c r="M212" s="30" t="n"/>
      <c r="N212" s="30" t="n"/>
      <c r="O212" s="31">
        <f>L212+M212+N212</f>
        <v/>
      </c>
      <c r="P212" s="29" t="n"/>
      <c r="Q212" s="32" t="n"/>
      <c r="R212" s="27" t="n"/>
      <c r="S212" s="27" t="n"/>
      <c r="T212" s="27" t="n"/>
      <c r="U212" s="27" t="n"/>
    </row>
    <row r="213">
      <c r="A213" s="27" t="n"/>
      <c r="B213" s="15">
        <f>IFERROR(INDEX(Lists!$C$2:$C$21,MATCH(A213,Lists!$B$2:$B$21,0)),"")</f>
        <v/>
      </c>
      <c r="C213" s="27" t="n"/>
      <c r="D213" s="27" t="n"/>
      <c r="E213" s="27" t="n"/>
      <c r="F213" s="27" t="n"/>
      <c r="G213" s="27" t="n"/>
      <c r="H213" s="27" t="n"/>
      <c r="I213" s="28" t="n"/>
      <c r="J213" s="29" t="n"/>
      <c r="K213" s="30" t="n"/>
      <c r="L213" s="31">
        <f>I213*K213</f>
        <v/>
      </c>
      <c r="M213" s="30" t="n"/>
      <c r="N213" s="30" t="n"/>
      <c r="O213" s="31">
        <f>L213+M213+N213</f>
        <v/>
      </c>
      <c r="P213" s="29" t="n"/>
      <c r="Q213" s="32" t="n"/>
      <c r="R213" s="27" t="n"/>
      <c r="S213" s="27" t="n"/>
      <c r="T213" s="27" t="n"/>
      <c r="U213" s="27" t="n"/>
    </row>
    <row r="214">
      <c r="A214" s="27" t="n"/>
      <c r="B214" s="15">
        <f>IFERROR(INDEX(Lists!$C$2:$C$21,MATCH(A214,Lists!$B$2:$B$21,0)),"")</f>
        <v/>
      </c>
      <c r="C214" s="27" t="n"/>
      <c r="D214" s="27" t="n"/>
      <c r="E214" s="27" t="n"/>
      <c r="F214" s="27" t="n"/>
      <c r="G214" s="27" t="n"/>
      <c r="H214" s="27" t="n"/>
      <c r="I214" s="28" t="n"/>
      <c r="J214" s="29" t="n"/>
      <c r="K214" s="30" t="n"/>
      <c r="L214" s="31">
        <f>I214*K214</f>
        <v/>
      </c>
      <c r="M214" s="30" t="n"/>
      <c r="N214" s="30" t="n"/>
      <c r="O214" s="31">
        <f>L214+M214+N214</f>
        <v/>
      </c>
      <c r="P214" s="29" t="n"/>
      <c r="Q214" s="32" t="n"/>
      <c r="R214" s="27" t="n"/>
      <c r="S214" s="27" t="n"/>
      <c r="T214" s="27" t="n"/>
      <c r="U214" s="27" t="n"/>
    </row>
    <row r="215">
      <c r="A215" s="27" t="n"/>
      <c r="B215" s="15">
        <f>IFERROR(INDEX(Lists!$C$2:$C$21,MATCH(A215,Lists!$B$2:$B$21,0)),"")</f>
        <v/>
      </c>
      <c r="C215" s="27" t="n"/>
      <c r="D215" s="27" t="n"/>
      <c r="E215" s="27" t="n"/>
      <c r="F215" s="27" t="n"/>
      <c r="G215" s="27" t="n"/>
      <c r="H215" s="27" t="n"/>
      <c r="I215" s="28" t="n"/>
      <c r="J215" s="29" t="n"/>
      <c r="K215" s="30" t="n"/>
      <c r="L215" s="31">
        <f>I215*K215</f>
        <v/>
      </c>
      <c r="M215" s="30" t="n"/>
      <c r="N215" s="30" t="n"/>
      <c r="O215" s="31">
        <f>L215+M215+N215</f>
        <v/>
      </c>
      <c r="P215" s="29" t="n"/>
      <c r="Q215" s="32" t="n"/>
      <c r="R215" s="27" t="n"/>
      <c r="S215" s="27" t="n"/>
      <c r="T215" s="27" t="n"/>
      <c r="U215" s="27" t="n"/>
    </row>
    <row r="216">
      <c r="A216" s="27" t="n"/>
      <c r="B216" s="15">
        <f>IFERROR(INDEX(Lists!$C$2:$C$21,MATCH(A216,Lists!$B$2:$B$21,0)),"")</f>
        <v/>
      </c>
      <c r="C216" s="27" t="n"/>
      <c r="D216" s="27" t="n"/>
      <c r="E216" s="27" t="n"/>
      <c r="F216" s="27" t="n"/>
      <c r="G216" s="27" t="n"/>
      <c r="H216" s="27" t="n"/>
      <c r="I216" s="28" t="n"/>
      <c r="J216" s="29" t="n"/>
      <c r="K216" s="30" t="n"/>
      <c r="L216" s="31">
        <f>I216*K216</f>
        <v/>
      </c>
      <c r="M216" s="30" t="n"/>
      <c r="N216" s="30" t="n"/>
      <c r="O216" s="31">
        <f>L216+M216+N216</f>
        <v/>
      </c>
      <c r="P216" s="29" t="n"/>
      <c r="Q216" s="32" t="n"/>
      <c r="R216" s="27" t="n"/>
      <c r="S216" s="27" t="n"/>
      <c r="T216" s="27" t="n"/>
      <c r="U216" s="27" t="n"/>
    </row>
    <row r="217">
      <c r="A217" s="27" t="n"/>
      <c r="B217" s="15">
        <f>IFERROR(INDEX(Lists!$C$2:$C$21,MATCH(A217,Lists!$B$2:$B$21,0)),"")</f>
        <v/>
      </c>
      <c r="C217" s="27" t="n"/>
      <c r="D217" s="27" t="n"/>
      <c r="E217" s="27" t="n"/>
      <c r="F217" s="27" t="n"/>
      <c r="G217" s="27" t="n"/>
      <c r="H217" s="27" t="n"/>
      <c r="I217" s="28" t="n"/>
      <c r="J217" s="29" t="n"/>
      <c r="K217" s="30" t="n"/>
      <c r="L217" s="31">
        <f>I217*K217</f>
        <v/>
      </c>
      <c r="M217" s="30" t="n"/>
      <c r="N217" s="30" t="n"/>
      <c r="O217" s="31">
        <f>L217+M217+N217</f>
        <v/>
      </c>
      <c r="P217" s="29" t="n"/>
      <c r="Q217" s="32" t="n"/>
      <c r="R217" s="27" t="n"/>
      <c r="S217" s="27" t="n"/>
      <c r="T217" s="27" t="n"/>
      <c r="U217" s="27" t="n"/>
    </row>
    <row r="218">
      <c r="A218" s="27" t="n"/>
      <c r="B218" s="15">
        <f>IFERROR(INDEX(Lists!$C$2:$C$21,MATCH(A218,Lists!$B$2:$B$21,0)),"")</f>
        <v/>
      </c>
      <c r="C218" s="27" t="n"/>
      <c r="D218" s="27" t="n"/>
      <c r="E218" s="27" t="n"/>
      <c r="F218" s="27" t="n"/>
      <c r="G218" s="27" t="n"/>
      <c r="H218" s="27" t="n"/>
      <c r="I218" s="28" t="n"/>
      <c r="J218" s="29" t="n"/>
      <c r="K218" s="30" t="n"/>
      <c r="L218" s="31">
        <f>I218*K218</f>
        <v/>
      </c>
      <c r="M218" s="30" t="n"/>
      <c r="N218" s="30" t="n"/>
      <c r="O218" s="31">
        <f>L218+M218+N218</f>
        <v/>
      </c>
      <c r="P218" s="29" t="n"/>
      <c r="Q218" s="32" t="n"/>
      <c r="R218" s="27" t="n"/>
      <c r="S218" s="27" t="n"/>
      <c r="T218" s="27" t="n"/>
      <c r="U218" s="27" t="n"/>
    </row>
    <row r="219">
      <c r="A219" s="27" t="n"/>
      <c r="B219" s="15">
        <f>IFERROR(INDEX(Lists!$C$2:$C$21,MATCH(A219,Lists!$B$2:$B$21,0)),"")</f>
        <v/>
      </c>
      <c r="C219" s="27" t="n"/>
      <c r="D219" s="27" t="n"/>
      <c r="E219" s="27" t="n"/>
      <c r="F219" s="27" t="n"/>
      <c r="G219" s="27" t="n"/>
      <c r="H219" s="27" t="n"/>
      <c r="I219" s="28" t="n"/>
      <c r="J219" s="29" t="n"/>
      <c r="K219" s="30" t="n"/>
      <c r="L219" s="31">
        <f>I219*K219</f>
        <v/>
      </c>
      <c r="M219" s="30" t="n"/>
      <c r="N219" s="30" t="n"/>
      <c r="O219" s="31">
        <f>L219+M219+N219</f>
        <v/>
      </c>
      <c r="P219" s="29" t="n"/>
      <c r="Q219" s="32" t="n"/>
      <c r="R219" s="27" t="n"/>
      <c r="S219" s="27" t="n"/>
      <c r="T219" s="27" t="n"/>
      <c r="U219" s="27" t="n"/>
    </row>
    <row r="220">
      <c r="A220" s="27" t="n"/>
      <c r="B220" s="15">
        <f>IFERROR(INDEX(Lists!$C$2:$C$21,MATCH(A220,Lists!$B$2:$B$21,0)),"")</f>
        <v/>
      </c>
      <c r="C220" s="27" t="n"/>
      <c r="D220" s="27" t="n"/>
      <c r="E220" s="27" t="n"/>
      <c r="F220" s="27" t="n"/>
      <c r="G220" s="27" t="n"/>
      <c r="H220" s="27" t="n"/>
      <c r="I220" s="28" t="n"/>
      <c r="J220" s="29" t="n"/>
      <c r="K220" s="30" t="n"/>
      <c r="L220" s="31">
        <f>I220*K220</f>
        <v/>
      </c>
      <c r="M220" s="30" t="n"/>
      <c r="N220" s="30" t="n"/>
      <c r="O220" s="31">
        <f>L220+M220+N220</f>
        <v/>
      </c>
      <c r="P220" s="29" t="n"/>
      <c r="Q220" s="32" t="n"/>
      <c r="R220" s="27" t="n"/>
      <c r="S220" s="27" t="n"/>
      <c r="T220" s="27" t="n"/>
      <c r="U220" s="27" t="n"/>
    </row>
    <row r="221">
      <c r="A221" s="27" t="n"/>
      <c r="B221" s="15">
        <f>IFERROR(INDEX(Lists!$C$2:$C$21,MATCH(A221,Lists!$B$2:$B$21,0)),"")</f>
        <v/>
      </c>
      <c r="C221" s="27" t="n"/>
      <c r="D221" s="27" t="n"/>
      <c r="E221" s="27" t="n"/>
      <c r="F221" s="27" t="n"/>
      <c r="G221" s="27" t="n"/>
      <c r="H221" s="27" t="n"/>
      <c r="I221" s="28" t="n"/>
      <c r="J221" s="29" t="n"/>
      <c r="K221" s="30" t="n"/>
      <c r="L221" s="31">
        <f>I221*K221</f>
        <v/>
      </c>
      <c r="M221" s="30" t="n"/>
      <c r="N221" s="30" t="n"/>
      <c r="O221" s="31">
        <f>L221+M221+N221</f>
        <v/>
      </c>
      <c r="P221" s="29" t="n"/>
      <c r="Q221" s="32" t="n"/>
      <c r="R221" s="27" t="n"/>
      <c r="S221" s="27" t="n"/>
      <c r="T221" s="27" t="n"/>
      <c r="U221" s="27" t="n"/>
    </row>
    <row r="222">
      <c r="A222" s="27" t="n"/>
      <c r="B222" s="15">
        <f>IFERROR(INDEX(Lists!$C$2:$C$21,MATCH(A222,Lists!$B$2:$B$21,0)),"")</f>
        <v/>
      </c>
      <c r="C222" s="27" t="n"/>
      <c r="D222" s="27" t="n"/>
      <c r="E222" s="27" t="n"/>
      <c r="F222" s="27" t="n"/>
      <c r="G222" s="27" t="n"/>
      <c r="H222" s="27" t="n"/>
      <c r="I222" s="28" t="n"/>
      <c r="J222" s="29" t="n"/>
      <c r="K222" s="30" t="n"/>
      <c r="L222" s="31">
        <f>I222*K222</f>
        <v/>
      </c>
      <c r="M222" s="30" t="n"/>
      <c r="N222" s="30" t="n"/>
      <c r="O222" s="31">
        <f>L222+M222+N222</f>
        <v/>
      </c>
      <c r="P222" s="29" t="n"/>
      <c r="Q222" s="32" t="n"/>
      <c r="R222" s="27" t="n"/>
      <c r="S222" s="27" t="n"/>
      <c r="T222" s="27" t="n"/>
      <c r="U222" s="27" t="n"/>
    </row>
    <row r="223">
      <c r="A223" s="27" t="n"/>
      <c r="B223" s="15">
        <f>IFERROR(INDEX(Lists!$C$2:$C$21,MATCH(A223,Lists!$B$2:$B$21,0)),"")</f>
        <v/>
      </c>
      <c r="C223" s="27" t="n"/>
      <c r="D223" s="27" t="n"/>
      <c r="E223" s="27" t="n"/>
      <c r="F223" s="27" t="n"/>
      <c r="G223" s="27" t="n"/>
      <c r="H223" s="27" t="n"/>
      <c r="I223" s="28" t="n"/>
      <c r="J223" s="29" t="n"/>
      <c r="K223" s="30" t="n"/>
      <c r="L223" s="31">
        <f>I223*K223</f>
        <v/>
      </c>
      <c r="M223" s="30" t="n"/>
      <c r="N223" s="30" t="n"/>
      <c r="O223" s="31">
        <f>L223+M223+N223</f>
        <v/>
      </c>
      <c r="P223" s="29" t="n"/>
      <c r="Q223" s="32" t="n"/>
      <c r="R223" s="27" t="n"/>
      <c r="S223" s="27" t="n"/>
      <c r="T223" s="27" t="n"/>
      <c r="U223" s="27" t="n"/>
    </row>
    <row r="224">
      <c r="A224" s="27" t="n"/>
      <c r="B224" s="15">
        <f>IFERROR(INDEX(Lists!$C$2:$C$21,MATCH(A224,Lists!$B$2:$B$21,0)),"")</f>
        <v/>
      </c>
      <c r="C224" s="27" t="n"/>
      <c r="D224" s="27" t="n"/>
      <c r="E224" s="27" t="n"/>
      <c r="F224" s="27" t="n"/>
      <c r="G224" s="27" t="n"/>
      <c r="H224" s="27" t="n"/>
      <c r="I224" s="28" t="n"/>
      <c r="J224" s="29" t="n"/>
      <c r="K224" s="30" t="n"/>
      <c r="L224" s="31">
        <f>I224*K224</f>
        <v/>
      </c>
      <c r="M224" s="30" t="n"/>
      <c r="N224" s="30" t="n"/>
      <c r="O224" s="31">
        <f>L224+M224+N224</f>
        <v/>
      </c>
      <c r="P224" s="29" t="n"/>
      <c r="Q224" s="32" t="n"/>
      <c r="R224" s="27" t="n"/>
      <c r="S224" s="27" t="n"/>
      <c r="T224" s="27" t="n"/>
      <c r="U224" s="27" t="n"/>
    </row>
    <row r="225">
      <c r="A225" s="27" t="n"/>
      <c r="B225" s="15">
        <f>IFERROR(INDEX(Lists!$C$2:$C$21,MATCH(A225,Lists!$B$2:$B$21,0)),"")</f>
        <v/>
      </c>
      <c r="C225" s="27" t="n"/>
      <c r="D225" s="27" t="n"/>
      <c r="E225" s="27" t="n"/>
      <c r="F225" s="27" t="n"/>
      <c r="G225" s="27" t="n"/>
      <c r="H225" s="27" t="n"/>
      <c r="I225" s="28" t="n"/>
      <c r="J225" s="29" t="n"/>
      <c r="K225" s="30" t="n"/>
      <c r="L225" s="31">
        <f>I225*K225</f>
        <v/>
      </c>
      <c r="M225" s="30" t="n"/>
      <c r="N225" s="30" t="n"/>
      <c r="O225" s="31">
        <f>L225+M225+N225</f>
        <v/>
      </c>
      <c r="P225" s="29" t="n"/>
      <c r="Q225" s="32" t="n"/>
      <c r="R225" s="27" t="n"/>
      <c r="S225" s="27" t="n"/>
      <c r="T225" s="27" t="n"/>
      <c r="U225" s="27" t="n"/>
    </row>
    <row r="226">
      <c r="A226" s="27" t="n"/>
      <c r="B226" s="15">
        <f>IFERROR(INDEX(Lists!$C$2:$C$21,MATCH(A226,Lists!$B$2:$B$21,0)),"")</f>
        <v/>
      </c>
      <c r="C226" s="27" t="n"/>
      <c r="D226" s="27" t="n"/>
      <c r="E226" s="27" t="n"/>
      <c r="F226" s="27" t="n"/>
      <c r="G226" s="27" t="n"/>
      <c r="H226" s="27" t="n"/>
      <c r="I226" s="28" t="n"/>
      <c r="J226" s="29" t="n"/>
      <c r="K226" s="30" t="n"/>
      <c r="L226" s="31">
        <f>I226*K226</f>
        <v/>
      </c>
      <c r="M226" s="30" t="n"/>
      <c r="N226" s="30" t="n"/>
      <c r="O226" s="31">
        <f>L226+M226+N226</f>
        <v/>
      </c>
      <c r="P226" s="29" t="n"/>
      <c r="Q226" s="32" t="n"/>
      <c r="R226" s="27" t="n"/>
      <c r="S226" s="27" t="n"/>
      <c r="T226" s="27" t="n"/>
      <c r="U226" s="27" t="n"/>
    </row>
    <row r="227">
      <c r="A227" s="27" t="n"/>
      <c r="B227" s="15">
        <f>IFERROR(INDEX(Lists!$C$2:$C$21,MATCH(A227,Lists!$B$2:$B$21,0)),"")</f>
        <v/>
      </c>
      <c r="C227" s="27" t="n"/>
      <c r="D227" s="27" t="n"/>
      <c r="E227" s="27" t="n"/>
      <c r="F227" s="27" t="n"/>
      <c r="G227" s="27" t="n"/>
      <c r="H227" s="27" t="n"/>
      <c r="I227" s="28" t="n"/>
      <c r="J227" s="29" t="n"/>
      <c r="K227" s="30" t="n"/>
      <c r="L227" s="31">
        <f>I227*K227</f>
        <v/>
      </c>
      <c r="M227" s="30" t="n"/>
      <c r="N227" s="30" t="n"/>
      <c r="O227" s="31">
        <f>L227+M227+N227</f>
        <v/>
      </c>
      <c r="P227" s="29" t="n"/>
      <c r="Q227" s="32" t="n"/>
      <c r="R227" s="27" t="n"/>
      <c r="S227" s="27" t="n"/>
      <c r="T227" s="27" t="n"/>
      <c r="U227" s="27" t="n"/>
    </row>
    <row r="228">
      <c r="A228" s="27" t="n"/>
      <c r="B228" s="15">
        <f>IFERROR(INDEX(Lists!$C$2:$C$21,MATCH(A228,Lists!$B$2:$B$21,0)),"")</f>
        <v/>
      </c>
      <c r="C228" s="27" t="n"/>
      <c r="D228" s="27" t="n"/>
      <c r="E228" s="27" t="n"/>
      <c r="F228" s="27" t="n"/>
      <c r="G228" s="27" t="n"/>
      <c r="H228" s="27" t="n"/>
      <c r="I228" s="28" t="n"/>
      <c r="J228" s="29" t="n"/>
      <c r="K228" s="30" t="n"/>
      <c r="L228" s="31">
        <f>I228*K228</f>
        <v/>
      </c>
      <c r="M228" s="30" t="n"/>
      <c r="N228" s="30" t="n"/>
      <c r="O228" s="31">
        <f>L228+M228+N228</f>
        <v/>
      </c>
      <c r="P228" s="29" t="n"/>
      <c r="Q228" s="32" t="n"/>
      <c r="R228" s="27" t="n"/>
      <c r="S228" s="27" t="n"/>
      <c r="T228" s="27" t="n"/>
      <c r="U228" s="27" t="n"/>
    </row>
    <row r="229">
      <c r="A229" s="27" t="n"/>
      <c r="B229" s="15">
        <f>IFERROR(INDEX(Lists!$C$2:$C$21,MATCH(A229,Lists!$B$2:$B$21,0)),"")</f>
        <v/>
      </c>
      <c r="C229" s="27" t="n"/>
      <c r="D229" s="27" t="n"/>
      <c r="E229" s="27" t="n"/>
      <c r="F229" s="27" t="n"/>
      <c r="G229" s="27" t="n"/>
      <c r="H229" s="27" t="n"/>
      <c r="I229" s="28" t="n"/>
      <c r="J229" s="29" t="n"/>
      <c r="K229" s="30" t="n"/>
      <c r="L229" s="31">
        <f>I229*K229</f>
        <v/>
      </c>
      <c r="M229" s="30" t="n"/>
      <c r="N229" s="30" t="n"/>
      <c r="O229" s="31">
        <f>L229+M229+N229</f>
        <v/>
      </c>
      <c r="P229" s="29" t="n"/>
      <c r="Q229" s="32" t="n"/>
      <c r="R229" s="27" t="n"/>
      <c r="S229" s="27" t="n"/>
      <c r="T229" s="27" t="n"/>
      <c r="U229" s="27" t="n"/>
    </row>
    <row r="230">
      <c r="A230" s="27" t="n"/>
      <c r="B230" s="15">
        <f>IFERROR(INDEX(Lists!$C$2:$C$21,MATCH(A230,Lists!$B$2:$B$21,0)),"")</f>
        <v/>
      </c>
      <c r="C230" s="27" t="n"/>
      <c r="D230" s="27" t="n"/>
      <c r="E230" s="27" t="n"/>
      <c r="F230" s="27" t="n"/>
      <c r="G230" s="27" t="n"/>
      <c r="H230" s="27" t="n"/>
      <c r="I230" s="28" t="n"/>
      <c r="J230" s="29" t="n"/>
      <c r="K230" s="30" t="n"/>
      <c r="L230" s="31">
        <f>I230*K230</f>
        <v/>
      </c>
      <c r="M230" s="30" t="n"/>
      <c r="N230" s="30" t="n"/>
      <c r="O230" s="31">
        <f>L230+M230+N230</f>
        <v/>
      </c>
      <c r="P230" s="29" t="n"/>
      <c r="Q230" s="32" t="n"/>
      <c r="R230" s="27" t="n"/>
      <c r="S230" s="27" t="n"/>
      <c r="T230" s="27" t="n"/>
      <c r="U230" s="27" t="n"/>
    </row>
    <row r="231">
      <c r="A231" s="27" t="n"/>
      <c r="B231" s="15">
        <f>IFERROR(INDEX(Lists!$C$2:$C$21,MATCH(A231,Lists!$B$2:$B$21,0)),"")</f>
        <v/>
      </c>
      <c r="C231" s="27" t="n"/>
      <c r="D231" s="27" t="n"/>
      <c r="E231" s="27" t="n"/>
      <c r="F231" s="27" t="n"/>
      <c r="G231" s="27" t="n"/>
      <c r="H231" s="27" t="n"/>
      <c r="I231" s="28" t="n"/>
      <c r="J231" s="29" t="n"/>
      <c r="K231" s="30" t="n"/>
      <c r="L231" s="31">
        <f>I231*K231</f>
        <v/>
      </c>
      <c r="M231" s="30" t="n"/>
      <c r="N231" s="30" t="n"/>
      <c r="O231" s="31">
        <f>L231+M231+N231</f>
        <v/>
      </c>
      <c r="P231" s="29" t="n"/>
      <c r="Q231" s="32" t="n"/>
      <c r="R231" s="27" t="n"/>
      <c r="S231" s="27" t="n"/>
      <c r="T231" s="27" t="n"/>
      <c r="U231" s="27" t="n"/>
    </row>
    <row r="232">
      <c r="A232" s="27" t="n"/>
      <c r="B232" s="15">
        <f>IFERROR(INDEX(Lists!$C$2:$C$21,MATCH(A232,Lists!$B$2:$B$21,0)),"")</f>
        <v/>
      </c>
      <c r="C232" s="27" t="n"/>
      <c r="D232" s="27" t="n"/>
      <c r="E232" s="27" t="n"/>
      <c r="F232" s="27" t="n"/>
      <c r="G232" s="27" t="n"/>
      <c r="H232" s="27" t="n"/>
      <c r="I232" s="28" t="n"/>
      <c r="J232" s="29" t="n"/>
      <c r="K232" s="30" t="n"/>
      <c r="L232" s="31">
        <f>I232*K232</f>
        <v/>
      </c>
      <c r="M232" s="30" t="n"/>
      <c r="N232" s="30" t="n"/>
      <c r="O232" s="31">
        <f>L232+M232+N232</f>
        <v/>
      </c>
      <c r="P232" s="29" t="n"/>
      <c r="Q232" s="32" t="n"/>
      <c r="R232" s="27" t="n"/>
      <c r="S232" s="27" t="n"/>
      <c r="T232" s="27" t="n"/>
      <c r="U232" s="27" t="n"/>
    </row>
    <row r="233">
      <c r="A233" s="27" t="n"/>
      <c r="B233" s="15">
        <f>IFERROR(INDEX(Lists!$C$2:$C$21,MATCH(A233,Lists!$B$2:$B$21,0)),"")</f>
        <v/>
      </c>
      <c r="C233" s="27" t="n"/>
      <c r="D233" s="27" t="n"/>
      <c r="E233" s="27" t="n"/>
      <c r="F233" s="27" t="n"/>
      <c r="G233" s="27" t="n"/>
      <c r="H233" s="27" t="n"/>
      <c r="I233" s="28" t="n"/>
      <c r="J233" s="29" t="n"/>
      <c r="K233" s="30" t="n"/>
      <c r="L233" s="31">
        <f>I233*K233</f>
        <v/>
      </c>
      <c r="M233" s="30" t="n"/>
      <c r="N233" s="30" t="n"/>
      <c r="O233" s="31">
        <f>L233+M233+N233</f>
        <v/>
      </c>
      <c r="P233" s="29" t="n"/>
      <c r="Q233" s="32" t="n"/>
      <c r="R233" s="27" t="n"/>
      <c r="S233" s="27" t="n"/>
      <c r="T233" s="27" t="n"/>
      <c r="U233" s="27" t="n"/>
    </row>
    <row r="234">
      <c r="A234" s="27" t="n"/>
      <c r="B234" s="15">
        <f>IFERROR(INDEX(Lists!$C$2:$C$21,MATCH(A234,Lists!$B$2:$B$21,0)),"")</f>
        <v/>
      </c>
      <c r="C234" s="27" t="n"/>
      <c r="D234" s="27" t="n"/>
      <c r="E234" s="27" t="n"/>
      <c r="F234" s="27" t="n"/>
      <c r="G234" s="27" t="n"/>
      <c r="H234" s="27" t="n"/>
      <c r="I234" s="28" t="n"/>
      <c r="J234" s="29" t="n"/>
      <c r="K234" s="30" t="n"/>
      <c r="L234" s="31">
        <f>I234*K234</f>
        <v/>
      </c>
      <c r="M234" s="30" t="n"/>
      <c r="N234" s="30" t="n"/>
      <c r="O234" s="31">
        <f>L234+M234+N234</f>
        <v/>
      </c>
      <c r="P234" s="29" t="n"/>
      <c r="Q234" s="32" t="n"/>
      <c r="R234" s="27" t="n"/>
      <c r="S234" s="27" t="n"/>
      <c r="T234" s="27" t="n"/>
      <c r="U234" s="27" t="n"/>
    </row>
    <row r="235">
      <c r="A235" s="27" t="n"/>
      <c r="B235" s="15">
        <f>IFERROR(INDEX(Lists!$C$2:$C$21,MATCH(A235,Lists!$B$2:$B$21,0)),"")</f>
        <v/>
      </c>
      <c r="C235" s="27" t="n"/>
      <c r="D235" s="27" t="n"/>
      <c r="E235" s="27" t="n"/>
      <c r="F235" s="27" t="n"/>
      <c r="G235" s="27" t="n"/>
      <c r="H235" s="27" t="n"/>
      <c r="I235" s="28" t="n"/>
      <c r="J235" s="29" t="n"/>
      <c r="K235" s="30" t="n"/>
      <c r="L235" s="31">
        <f>I235*K235</f>
        <v/>
      </c>
      <c r="M235" s="30" t="n"/>
      <c r="N235" s="30" t="n"/>
      <c r="O235" s="31">
        <f>L235+M235+N235</f>
        <v/>
      </c>
      <c r="P235" s="29" t="n"/>
      <c r="Q235" s="32" t="n"/>
      <c r="R235" s="27" t="n"/>
      <c r="S235" s="27" t="n"/>
      <c r="T235" s="27" t="n"/>
      <c r="U235" s="27" t="n"/>
    </row>
    <row r="236">
      <c r="A236" s="27" t="n"/>
      <c r="B236" s="15">
        <f>IFERROR(INDEX(Lists!$C$2:$C$21,MATCH(A236,Lists!$B$2:$B$21,0)),"")</f>
        <v/>
      </c>
      <c r="C236" s="27" t="n"/>
      <c r="D236" s="27" t="n"/>
      <c r="E236" s="27" t="n"/>
      <c r="F236" s="27" t="n"/>
      <c r="G236" s="27" t="n"/>
      <c r="H236" s="27" t="n"/>
      <c r="I236" s="28" t="n"/>
      <c r="J236" s="29" t="n"/>
      <c r="K236" s="30" t="n"/>
      <c r="L236" s="31">
        <f>I236*K236</f>
        <v/>
      </c>
      <c r="M236" s="30" t="n"/>
      <c r="N236" s="30" t="n"/>
      <c r="O236" s="31">
        <f>L236+M236+N236</f>
        <v/>
      </c>
      <c r="P236" s="29" t="n"/>
      <c r="Q236" s="32" t="n"/>
      <c r="R236" s="27" t="n"/>
      <c r="S236" s="27" t="n"/>
      <c r="T236" s="27" t="n"/>
      <c r="U236" s="27" t="n"/>
    </row>
    <row r="237">
      <c r="A237" s="27" t="n"/>
      <c r="B237" s="15">
        <f>IFERROR(INDEX(Lists!$C$2:$C$21,MATCH(A237,Lists!$B$2:$B$21,0)),"")</f>
        <v/>
      </c>
      <c r="C237" s="27" t="n"/>
      <c r="D237" s="27" t="n"/>
      <c r="E237" s="27" t="n"/>
      <c r="F237" s="27" t="n"/>
      <c r="G237" s="27" t="n"/>
      <c r="H237" s="27" t="n"/>
      <c r="I237" s="28" t="n"/>
      <c r="J237" s="29" t="n"/>
      <c r="K237" s="30" t="n"/>
      <c r="L237" s="31">
        <f>I237*K237</f>
        <v/>
      </c>
      <c r="M237" s="30" t="n"/>
      <c r="N237" s="30" t="n"/>
      <c r="O237" s="31">
        <f>L237+M237+N237</f>
        <v/>
      </c>
      <c r="P237" s="29" t="n"/>
      <c r="Q237" s="32" t="n"/>
      <c r="R237" s="27" t="n"/>
      <c r="S237" s="27" t="n"/>
      <c r="T237" s="27" t="n"/>
      <c r="U237" s="27" t="n"/>
    </row>
    <row r="238">
      <c r="A238" s="27" t="n"/>
      <c r="B238" s="15">
        <f>IFERROR(INDEX(Lists!$C$2:$C$21,MATCH(A238,Lists!$B$2:$B$21,0)),"")</f>
        <v/>
      </c>
      <c r="C238" s="27" t="n"/>
      <c r="D238" s="27" t="n"/>
      <c r="E238" s="27" t="n"/>
      <c r="F238" s="27" t="n"/>
      <c r="G238" s="27" t="n"/>
      <c r="H238" s="27" t="n"/>
      <c r="I238" s="28" t="n"/>
      <c r="J238" s="29" t="n"/>
      <c r="K238" s="30" t="n"/>
      <c r="L238" s="31">
        <f>I238*K238</f>
        <v/>
      </c>
      <c r="M238" s="30" t="n"/>
      <c r="N238" s="30" t="n"/>
      <c r="O238" s="31">
        <f>L238+M238+N238</f>
        <v/>
      </c>
      <c r="P238" s="29" t="n"/>
      <c r="Q238" s="32" t="n"/>
      <c r="R238" s="27" t="n"/>
      <c r="S238" s="27" t="n"/>
      <c r="T238" s="27" t="n"/>
      <c r="U238" s="27" t="n"/>
    </row>
    <row r="239">
      <c r="A239" s="27" t="n"/>
      <c r="B239" s="15">
        <f>IFERROR(INDEX(Lists!$C$2:$C$21,MATCH(A239,Lists!$B$2:$B$21,0)),"")</f>
        <v/>
      </c>
      <c r="C239" s="27" t="n"/>
      <c r="D239" s="27" t="n"/>
      <c r="E239" s="27" t="n"/>
      <c r="F239" s="27" t="n"/>
      <c r="G239" s="27" t="n"/>
      <c r="H239" s="27" t="n"/>
      <c r="I239" s="28" t="n"/>
      <c r="J239" s="29" t="n"/>
      <c r="K239" s="30" t="n"/>
      <c r="L239" s="31">
        <f>I239*K239</f>
        <v/>
      </c>
      <c r="M239" s="30" t="n"/>
      <c r="N239" s="30" t="n"/>
      <c r="O239" s="31">
        <f>L239+M239+N239</f>
        <v/>
      </c>
      <c r="P239" s="29" t="n"/>
      <c r="Q239" s="32" t="n"/>
      <c r="R239" s="27" t="n"/>
      <c r="S239" s="27" t="n"/>
      <c r="T239" s="27" t="n"/>
      <c r="U239" s="27" t="n"/>
    </row>
    <row r="240">
      <c r="A240" s="27" t="n"/>
      <c r="B240" s="15">
        <f>IFERROR(INDEX(Lists!$C$2:$C$21,MATCH(A240,Lists!$B$2:$B$21,0)),"")</f>
        <v/>
      </c>
      <c r="C240" s="27" t="n"/>
      <c r="D240" s="27" t="n"/>
      <c r="E240" s="27" t="n"/>
      <c r="F240" s="27" t="n"/>
      <c r="G240" s="27" t="n"/>
      <c r="H240" s="27" t="n"/>
      <c r="I240" s="28" t="n"/>
      <c r="J240" s="29" t="n"/>
      <c r="K240" s="30" t="n"/>
      <c r="L240" s="31">
        <f>I240*K240</f>
        <v/>
      </c>
      <c r="M240" s="30" t="n"/>
      <c r="N240" s="30" t="n"/>
      <c r="O240" s="31">
        <f>L240+M240+N240</f>
        <v/>
      </c>
      <c r="P240" s="29" t="n"/>
      <c r="Q240" s="32" t="n"/>
      <c r="R240" s="27" t="n"/>
      <c r="S240" s="27" t="n"/>
      <c r="T240" s="27" t="n"/>
      <c r="U240" s="27" t="n"/>
    </row>
    <row r="241">
      <c r="A241" s="27" t="n"/>
      <c r="B241" s="15">
        <f>IFERROR(INDEX(Lists!$C$2:$C$21,MATCH(A241,Lists!$B$2:$B$21,0)),"")</f>
        <v/>
      </c>
      <c r="C241" s="27" t="n"/>
      <c r="D241" s="27" t="n"/>
      <c r="E241" s="27" t="n"/>
      <c r="F241" s="27" t="n"/>
      <c r="G241" s="27" t="n"/>
      <c r="H241" s="27" t="n"/>
      <c r="I241" s="28" t="n"/>
      <c r="J241" s="29" t="n"/>
      <c r="K241" s="30" t="n"/>
      <c r="L241" s="31">
        <f>I241*K241</f>
        <v/>
      </c>
      <c r="M241" s="30" t="n"/>
      <c r="N241" s="30" t="n"/>
      <c r="O241" s="31">
        <f>L241+M241+N241</f>
        <v/>
      </c>
      <c r="P241" s="29" t="n"/>
      <c r="Q241" s="32" t="n"/>
      <c r="R241" s="27" t="n"/>
      <c r="S241" s="27" t="n"/>
      <c r="T241" s="27" t="n"/>
      <c r="U241" s="27" t="n"/>
    </row>
    <row r="242">
      <c r="A242" s="27" t="n"/>
      <c r="B242" s="15">
        <f>IFERROR(INDEX(Lists!$C$2:$C$21,MATCH(A242,Lists!$B$2:$B$21,0)),"")</f>
        <v/>
      </c>
      <c r="C242" s="27" t="n"/>
      <c r="D242" s="27" t="n"/>
      <c r="E242" s="27" t="n"/>
      <c r="F242" s="27" t="n"/>
      <c r="G242" s="27" t="n"/>
      <c r="H242" s="27" t="n"/>
      <c r="I242" s="28" t="n"/>
      <c r="J242" s="29" t="n"/>
      <c r="K242" s="30" t="n"/>
      <c r="L242" s="31">
        <f>I242*K242</f>
        <v/>
      </c>
      <c r="M242" s="30" t="n"/>
      <c r="N242" s="30" t="n"/>
      <c r="O242" s="31">
        <f>L242+M242+N242</f>
        <v/>
      </c>
      <c r="P242" s="29" t="n"/>
      <c r="Q242" s="32" t="n"/>
      <c r="R242" s="27" t="n"/>
      <c r="S242" s="27" t="n"/>
      <c r="T242" s="27" t="n"/>
      <c r="U242" s="27" t="n"/>
    </row>
    <row r="243">
      <c r="A243" s="27" t="n"/>
      <c r="B243" s="15">
        <f>IFERROR(INDEX(Lists!$C$2:$C$21,MATCH(A243,Lists!$B$2:$B$21,0)),"")</f>
        <v/>
      </c>
      <c r="C243" s="27" t="n"/>
      <c r="D243" s="27" t="n"/>
      <c r="E243" s="27" t="n"/>
      <c r="F243" s="27" t="n"/>
      <c r="G243" s="27" t="n"/>
      <c r="H243" s="27" t="n"/>
      <c r="I243" s="28" t="n"/>
      <c r="J243" s="29" t="n"/>
      <c r="K243" s="30" t="n"/>
      <c r="L243" s="31">
        <f>I243*K243</f>
        <v/>
      </c>
      <c r="M243" s="30" t="n"/>
      <c r="N243" s="30" t="n"/>
      <c r="O243" s="31">
        <f>L243+M243+N243</f>
        <v/>
      </c>
      <c r="P243" s="29" t="n"/>
      <c r="Q243" s="32" t="n"/>
      <c r="R243" s="27" t="n"/>
      <c r="S243" s="27" t="n"/>
      <c r="T243" s="27" t="n"/>
      <c r="U243" s="27" t="n"/>
    </row>
    <row r="244">
      <c r="A244" s="27" t="n"/>
      <c r="B244" s="15">
        <f>IFERROR(INDEX(Lists!$C$2:$C$21,MATCH(A244,Lists!$B$2:$B$21,0)),"")</f>
        <v/>
      </c>
      <c r="C244" s="27" t="n"/>
      <c r="D244" s="27" t="n"/>
      <c r="E244" s="27" t="n"/>
      <c r="F244" s="27" t="n"/>
      <c r="G244" s="27" t="n"/>
      <c r="H244" s="27" t="n"/>
      <c r="I244" s="28" t="n"/>
      <c r="J244" s="29" t="n"/>
      <c r="K244" s="30" t="n"/>
      <c r="L244" s="31">
        <f>I244*K244</f>
        <v/>
      </c>
      <c r="M244" s="30" t="n"/>
      <c r="N244" s="30" t="n"/>
      <c r="O244" s="31">
        <f>L244+M244+N244</f>
        <v/>
      </c>
      <c r="P244" s="29" t="n"/>
      <c r="Q244" s="32" t="n"/>
      <c r="R244" s="27" t="n"/>
      <c r="S244" s="27" t="n"/>
      <c r="T244" s="27" t="n"/>
      <c r="U244" s="27" t="n"/>
    </row>
    <row r="245">
      <c r="A245" s="27" t="n"/>
      <c r="B245" s="15">
        <f>IFERROR(INDEX(Lists!$C$2:$C$21,MATCH(A245,Lists!$B$2:$B$21,0)),"")</f>
        <v/>
      </c>
      <c r="C245" s="27" t="n"/>
      <c r="D245" s="27" t="n"/>
      <c r="E245" s="27" t="n"/>
      <c r="F245" s="27" t="n"/>
      <c r="G245" s="27" t="n"/>
      <c r="H245" s="27" t="n"/>
      <c r="I245" s="28" t="n"/>
      <c r="J245" s="29" t="n"/>
      <c r="K245" s="30" t="n"/>
      <c r="L245" s="31">
        <f>I245*K245</f>
        <v/>
      </c>
      <c r="M245" s="30" t="n"/>
      <c r="N245" s="30" t="n"/>
      <c r="O245" s="31">
        <f>L245+M245+N245</f>
        <v/>
      </c>
      <c r="P245" s="29" t="n"/>
      <c r="Q245" s="32" t="n"/>
      <c r="R245" s="27" t="n"/>
      <c r="S245" s="27" t="n"/>
      <c r="T245" s="27" t="n"/>
      <c r="U245" s="27" t="n"/>
    </row>
    <row r="246">
      <c r="A246" s="27" t="n"/>
      <c r="B246" s="15">
        <f>IFERROR(INDEX(Lists!$C$2:$C$21,MATCH(A246,Lists!$B$2:$B$21,0)),"")</f>
        <v/>
      </c>
      <c r="C246" s="27" t="n"/>
      <c r="D246" s="27" t="n"/>
      <c r="E246" s="27" t="n"/>
      <c r="F246" s="27" t="n"/>
      <c r="G246" s="27" t="n"/>
      <c r="H246" s="27" t="n"/>
      <c r="I246" s="28" t="n"/>
      <c r="J246" s="29" t="n"/>
      <c r="K246" s="30" t="n"/>
      <c r="L246" s="31">
        <f>I246*K246</f>
        <v/>
      </c>
      <c r="M246" s="30" t="n"/>
      <c r="N246" s="30" t="n"/>
      <c r="O246" s="31">
        <f>L246+M246+N246</f>
        <v/>
      </c>
      <c r="P246" s="29" t="n"/>
      <c r="Q246" s="32" t="n"/>
      <c r="R246" s="27" t="n"/>
      <c r="S246" s="27" t="n"/>
      <c r="T246" s="27" t="n"/>
      <c r="U246" s="27" t="n"/>
    </row>
    <row r="247">
      <c r="A247" s="27" t="n"/>
      <c r="B247" s="15">
        <f>IFERROR(INDEX(Lists!$C$2:$C$21,MATCH(A247,Lists!$B$2:$B$21,0)),"")</f>
        <v/>
      </c>
      <c r="C247" s="27" t="n"/>
      <c r="D247" s="27" t="n"/>
      <c r="E247" s="27" t="n"/>
      <c r="F247" s="27" t="n"/>
      <c r="G247" s="27" t="n"/>
      <c r="H247" s="27" t="n"/>
      <c r="I247" s="28" t="n"/>
      <c r="J247" s="29" t="n"/>
      <c r="K247" s="30" t="n"/>
      <c r="L247" s="31">
        <f>I247*K247</f>
        <v/>
      </c>
      <c r="M247" s="30" t="n"/>
      <c r="N247" s="30" t="n"/>
      <c r="O247" s="31">
        <f>L247+M247+N247</f>
        <v/>
      </c>
      <c r="P247" s="29" t="n"/>
      <c r="Q247" s="32" t="n"/>
      <c r="R247" s="27" t="n"/>
      <c r="S247" s="27" t="n"/>
      <c r="T247" s="27" t="n"/>
      <c r="U247" s="27" t="n"/>
    </row>
    <row r="248">
      <c r="A248" s="27" t="n"/>
      <c r="B248" s="15">
        <f>IFERROR(INDEX(Lists!$C$2:$C$21,MATCH(A248,Lists!$B$2:$B$21,0)),"")</f>
        <v/>
      </c>
      <c r="C248" s="27" t="n"/>
      <c r="D248" s="27" t="n"/>
      <c r="E248" s="27" t="n"/>
      <c r="F248" s="27" t="n"/>
      <c r="G248" s="27" t="n"/>
      <c r="H248" s="27" t="n"/>
      <c r="I248" s="28" t="n"/>
      <c r="J248" s="29" t="n"/>
      <c r="K248" s="30" t="n"/>
      <c r="L248" s="31">
        <f>I248*K248</f>
        <v/>
      </c>
      <c r="M248" s="30" t="n"/>
      <c r="N248" s="30" t="n"/>
      <c r="O248" s="31">
        <f>L248+M248+N248</f>
        <v/>
      </c>
      <c r="P248" s="29" t="n"/>
      <c r="Q248" s="32" t="n"/>
      <c r="R248" s="27" t="n"/>
      <c r="S248" s="27" t="n"/>
      <c r="T248" s="27" t="n"/>
      <c r="U248" s="27" t="n"/>
    </row>
    <row r="249">
      <c r="A249" s="27" t="n"/>
      <c r="B249" s="15">
        <f>IFERROR(INDEX(Lists!$C$2:$C$21,MATCH(A249,Lists!$B$2:$B$21,0)),"")</f>
        <v/>
      </c>
      <c r="C249" s="27" t="n"/>
      <c r="D249" s="27" t="n"/>
      <c r="E249" s="27" t="n"/>
      <c r="F249" s="27" t="n"/>
      <c r="G249" s="27" t="n"/>
      <c r="H249" s="27" t="n"/>
      <c r="I249" s="28" t="n"/>
      <c r="J249" s="29" t="n"/>
      <c r="K249" s="30" t="n"/>
      <c r="L249" s="31">
        <f>I249*K249</f>
        <v/>
      </c>
      <c r="M249" s="30" t="n"/>
      <c r="N249" s="30" t="n"/>
      <c r="O249" s="31">
        <f>L249+M249+N249</f>
        <v/>
      </c>
      <c r="P249" s="29" t="n"/>
      <c r="Q249" s="32" t="n"/>
      <c r="R249" s="27" t="n"/>
      <c r="S249" s="27" t="n"/>
      <c r="T249" s="27" t="n"/>
      <c r="U249" s="27" t="n"/>
    </row>
    <row r="250">
      <c r="A250" s="27" t="n"/>
      <c r="B250" s="15">
        <f>IFERROR(INDEX(Lists!$C$2:$C$21,MATCH(A250,Lists!$B$2:$B$21,0)),"")</f>
        <v/>
      </c>
      <c r="C250" s="27" t="n"/>
      <c r="D250" s="27" t="n"/>
      <c r="E250" s="27" t="n"/>
      <c r="F250" s="27" t="n"/>
      <c r="G250" s="27" t="n"/>
      <c r="H250" s="27" t="n"/>
      <c r="I250" s="28" t="n"/>
      <c r="J250" s="29" t="n"/>
      <c r="K250" s="30" t="n"/>
      <c r="L250" s="31">
        <f>I250*K250</f>
        <v/>
      </c>
      <c r="M250" s="30" t="n"/>
      <c r="N250" s="30" t="n"/>
      <c r="O250" s="31">
        <f>L250+M250+N250</f>
        <v/>
      </c>
      <c r="P250" s="29" t="n"/>
      <c r="Q250" s="32" t="n"/>
      <c r="R250" s="27" t="n"/>
      <c r="S250" s="27" t="n"/>
      <c r="T250" s="27" t="n"/>
      <c r="U250" s="27" t="n"/>
    </row>
    <row r="251">
      <c r="A251" s="27" t="n"/>
      <c r="B251" s="15">
        <f>IFERROR(INDEX(Lists!$C$2:$C$21,MATCH(A251,Lists!$B$2:$B$21,0)),"")</f>
        <v/>
      </c>
      <c r="C251" s="27" t="n"/>
      <c r="D251" s="27" t="n"/>
      <c r="E251" s="27" t="n"/>
      <c r="F251" s="27" t="n"/>
      <c r="G251" s="27" t="n"/>
      <c r="H251" s="27" t="n"/>
      <c r="I251" s="28" t="n"/>
      <c r="J251" s="29" t="n"/>
      <c r="K251" s="30" t="n"/>
      <c r="L251" s="31">
        <f>I251*K251</f>
        <v/>
      </c>
      <c r="M251" s="30" t="n"/>
      <c r="N251" s="30" t="n"/>
      <c r="O251" s="31">
        <f>L251+M251+N251</f>
        <v/>
      </c>
      <c r="P251" s="29" t="n"/>
      <c r="Q251" s="32" t="n"/>
      <c r="R251" s="27" t="n"/>
      <c r="S251" s="27" t="n"/>
      <c r="T251" s="27" t="n"/>
      <c r="U251" s="27" t="n"/>
    </row>
    <row r="252">
      <c r="A252" s="27" t="n"/>
      <c r="B252" s="15">
        <f>IFERROR(INDEX(Lists!$C$2:$C$21,MATCH(A252,Lists!$B$2:$B$21,0)),"")</f>
        <v/>
      </c>
      <c r="C252" s="27" t="n"/>
      <c r="D252" s="27" t="n"/>
      <c r="E252" s="27" t="n"/>
      <c r="F252" s="27" t="n"/>
      <c r="G252" s="27" t="n"/>
      <c r="H252" s="27" t="n"/>
      <c r="I252" s="28" t="n"/>
      <c r="J252" s="29" t="n"/>
      <c r="K252" s="30" t="n"/>
      <c r="L252" s="31">
        <f>I252*K252</f>
        <v/>
      </c>
      <c r="M252" s="30" t="n"/>
      <c r="N252" s="30" t="n"/>
      <c r="O252" s="31">
        <f>L252+M252+N252</f>
        <v/>
      </c>
      <c r="P252" s="29" t="n"/>
      <c r="Q252" s="32" t="n"/>
      <c r="R252" s="27" t="n"/>
      <c r="S252" s="27" t="n"/>
      <c r="T252" s="27" t="n"/>
      <c r="U252" s="27" t="n"/>
    </row>
    <row r="253">
      <c r="A253" s="27" t="n"/>
      <c r="B253" s="15">
        <f>IFERROR(INDEX(Lists!$C$2:$C$21,MATCH(A253,Lists!$B$2:$B$21,0)),"")</f>
        <v/>
      </c>
      <c r="C253" s="27" t="n"/>
      <c r="D253" s="27" t="n"/>
      <c r="E253" s="27" t="n"/>
      <c r="F253" s="27" t="n"/>
      <c r="G253" s="27" t="n"/>
      <c r="H253" s="27" t="n"/>
      <c r="I253" s="28" t="n"/>
      <c r="J253" s="29" t="n"/>
      <c r="K253" s="30" t="n"/>
      <c r="L253" s="31">
        <f>I253*K253</f>
        <v/>
      </c>
      <c r="M253" s="30" t="n"/>
      <c r="N253" s="30" t="n"/>
      <c r="O253" s="31">
        <f>L253+M253+N253</f>
        <v/>
      </c>
      <c r="P253" s="29" t="n"/>
      <c r="Q253" s="32" t="n"/>
      <c r="R253" s="27" t="n"/>
      <c r="S253" s="27" t="n"/>
      <c r="T253" s="27" t="n"/>
      <c r="U253" s="27" t="n"/>
    </row>
    <row r="254">
      <c r="A254" s="27" t="n"/>
      <c r="B254" s="15">
        <f>IFERROR(INDEX(Lists!$C$2:$C$21,MATCH(A254,Lists!$B$2:$B$21,0)),"")</f>
        <v/>
      </c>
      <c r="C254" s="27" t="n"/>
      <c r="D254" s="27" t="n"/>
      <c r="E254" s="27" t="n"/>
      <c r="F254" s="27" t="n"/>
      <c r="G254" s="27" t="n"/>
      <c r="H254" s="27" t="n"/>
      <c r="I254" s="28" t="n"/>
      <c r="J254" s="29" t="n"/>
      <c r="K254" s="30" t="n"/>
      <c r="L254" s="31">
        <f>I254*K254</f>
        <v/>
      </c>
      <c r="M254" s="30" t="n"/>
      <c r="N254" s="30" t="n"/>
      <c r="O254" s="31">
        <f>L254+M254+N254</f>
        <v/>
      </c>
      <c r="P254" s="29" t="n"/>
      <c r="Q254" s="32" t="n"/>
      <c r="R254" s="27" t="n"/>
      <c r="S254" s="27" t="n"/>
      <c r="T254" s="27" t="n"/>
      <c r="U254" s="27" t="n"/>
    </row>
    <row r="255">
      <c r="A255" s="27" t="n"/>
      <c r="B255" s="15">
        <f>IFERROR(INDEX(Lists!$C$2:$C$21,MATCH(A255,Lists!$B$2:$B$21,0)),"")</f>
        <v/>
      </c>
      <c r="C255" s="27" t="n"/>
      <c r="D255" s="27" t="n"/>
      <c r="E255" s="27" t="n"/>
      <c r="F255" s="27" t="n"/>
      <c r="G255" s="27" t="n"/>
      <c r="H255" s="27" t="n"/>
      <c r="I255" s="28" t="n"/>
      <c r="J255" s="29" t="n"/>
      <c r="K255" s="30" t="n"/>
      <c r="L255" s="31">
        <f>I255*K255</f>
        <v/>
      </c>
      <c r="M255" s="30" t="n"/>
      <c r="N255" s="30" t="n"/>
      <c r="O255" s="31">
        <f>L255+M255+N255</f>
        <v/>
      </c>
      <c r="P255" s="29" t="n"/>
      <c r="Q255" s="32" t="n"/>
      <c r="R255" s="27" t="n"/>
      <c r="S255" s="27" t="n"/>
      <c r="T255" s="27" t="n"/>
      <c r="U255" s="27" t="n"/>
    </row>
    <row r="256">
      <c r="A256" s="27" t="n"/>
      <c r="B256" s="15">
        <f>IFERROR(INDEX(Lists!$C$2:$C$21,MATCH(A256,Lists!$B$2:$B$21,0)),"")</f>
        <v/>
      </c>
      <c r="C256" s="27" t="n"/>
      <c r="D256" s="27" t="n"/>
      <c r="E256" s="27" t="n"/>
      <c r="F256" s="27" t="n"/>
      <c r="G256" s="27" t="n"/>
      <c r="H256" s="27" t="n"/>
      <c r="I256" s="28" t="n"/>
      <c r="J256" s="29" t="n"/>
      <c r="K256" s="30" t="n"/>
      <c r="L256" s="31">
        <f>I256*K256</f>
        <v/>
      </c>
      <c r="M256" s="30" t="n"/>
      <c r="N256" s="30" t="n"/>
      <c r="O256" s="31">
        <f>L256+M256+N256</f>
        <v/>
      </c>
      <c r="P256" s="29" t="n"/>
      <c r="Q256" s="32" t="n"/>
      <c r="R256" s="27" t="n"/>
      <c r="S256" s="27" t="n"/>
      <c r="T256" s="27" t="n"/>
      <c r="U256" s="27" t="n"/>
    </row>
    <row r="257">
      <c r="A257" s="27" t="n"/>
      <c r="B257" s="15">
        <f>IFERROR(INDEX(Lists!$C$2:$C$21,MATCH(A257,Lists!$B$2:$B$21,0)),"")</f>
        <v/>
      </c>
      <c r="C257" s="27" t="n"/>
      <c r="D257" s="27" t="n"/>
      <c r="E257" s="27" t="n"/>
      <c r="F257" s="27" t="n"/>
      <c r="G257" s="27" t="n"/>
      <c r="H257" s="27" t="n"/>
      <c r="I257" s="28" t="n"/>
      <c r="J257" s="29" t="n"/>
      <c r="K257" s="30" t="n"/>
      <c r="L257" s="31">
        <f>I257*K257</f>
        <v/>
      </c>
      <c r="M257" s="30" t="n"/>
      <c r="N257" s="30" t="n"/>
      <c r="O257" s="31">
        <f>L257+M257+N257</f>
        <v/>
      </c>
      <c r="P257" s="29" t="n"/>
      <c r="Q257" s="32" t="n"/>
      <c r="R257" s="27" t="n"/>
      <c r="S257" s="27" t="n"/>
      <c r="T257" s="27" t="n"/>
      <c r="U257" s="27" t="n"/>
    </row>
    <row r="258">
      <c r="A258" s="27" t="n"/>
      <c r="B258" s="15">
        <f>IFERROR(INDEX(Lists!$C$2:$C$21,MATCH(A258,Lists!$B$2:$B$21,0)),"")</f>
        <v/>
      </c>
      <c r="C258" s="27" t="n"/>
      <c r="D258" s="27" t="n"/>
      <c r="E258" s="27" t="n"/>
      <c r="F258" s="27" t="n"/>
      <c r="G258" s="27" t="n"/>
      <c r="H258" s="27" t="n"/>
      <c r="I258" s="28" t="n"/>
      <c r="J258" s="29" t="n"/>
      <c r="K258" s="30" t="n"/>
      <c r="L258" s="31">
        <f>I258*K258</f>
        <v/>
      </c>
      <c r="M258" s="30" t="n"/>
      <c r="N258" s="30" t="n"/>
      <c r="O258" s="31">
        <f>L258+M258+N258</f>
        <v/>
      </c>
      <c r="P258" s="29" t="n"/>
      <c r="Q258" s="32" t="n"/>
      <c r="R258" s="27" t="n"/>
      <c r="S258" s="27" t="n"/>
      <c r="T258" s="27" t="n"/>
      <c r="U258" s="27" t="n"/>
    </row>
    <row r="259">
      <c r="A259" s="27" t="n"/>
      <c r="B259" s="15">
        <f>IFERROR(INDEX(Lists!$C$2:$C$21,MATCH(A259,Lists!$B$2:$B$21,0)),"")</f>
        <v/>
      </c>
      <c r="C259" s="27" t="n"/>
      <c r="D259" s="27" t="n"/>
      <c r="E259" s="27" t="n"/>
      <c r="F259" s="27" t="n"/>
      <c r="G259" s="27" t="n"/>
      <c r="H259" s="27" t="n"/>
      <c r="I259" s="28" t="n"/>
      <c r="J259" s="29" t="n"/>
      <c r="K259" s="30" t="n"/>
      <c r="L259" s="31">
        <f>I259*K259</f>
        <v/>
      </c>
      <c r="M259" s="30" t="n"/>
      <c r="N259" s="30" t="n"/>
      <c r="O259" s="31">
        <f>L259+M259+N259</f>
        <v/>
      </c>
      <c r="P259" s="29" t="n"/>
      <c r="Q259" s="32" t="n"/>
      <c r="R259" s="27" t="n"/>
      <c r="S259" s="27" t="n"/>
      <c r="T259" s="27" t="n"/>
      <c r="U259" s="27" t="n"/>
    </row>
    <row r="260">
      <c r="A260" s="27" t="n"/>
      <c r="B260" s="15">
        <f>IFERROR(INDEX(Lists!$C$2:$C$21,MATCH(A260,Lists!$B$2:$B$21,0)),"")</f>
        <v/>
      </c>
      <c r="C260" s="27" t="n"/>
      <c r="D260" s="27" t="n"/>
      <c r="E260" s="27" t="n"/>
      <c r="F260" s="27" t="n"/>
      <c r="G260" s="27" t="n"/>
      <c r="H260" s="27" t="n"/>
      <c r="I260" s="28" t="n"/>
      <c r="J260" s="29" t="n"/>
      <c r="K260" s="30" t="n"/>
      <c r="L260" s="31">
        <f>I260*K260</f>
        <v/>
      </c>
      <c r="M260" s="30" t="n"/>
      <c r="N260" s="30" t="n"/>
      <c r="O260" s="31">
        <f>L260+M260+N260</f>
        <v/>
      </c>
      <c r="P260" s="29" t="n"/>
      <c r="Q260" s="32" t="n"/>
      <c r="R260" s="27" t="n"/>
      <c r="S260" s="27" t="n"/>
      <c r="T260" s="27" t="n"/>
      <c r="U260" s="27" t="n"/>
    </row>
    <row r="261">
      <c r="A261" s="27" t="n"/>
      <c r="B261" s="15">
        <f>IFERROR(INDEX(Lists!$C$2:$C$21,MATCH(A261,Lists!$B$2:$B$21,0)),"")</f>
        <v/>
      </c>
      <c r="C261" s="27" t="n"/>
      <c r="D261" s="27" t="n"/>
      <c r="E261" s="27" t="n"/>
      <c r="F261" s="27" t="n"/>
      <c r="G261" s="27" t="n"/>
      <c r="H261" s="27" t="n"/>
      <c r="I261" s="28" t="n"/>
      <c r="J261" s="29" t="n"/>
      <c r="K261" s="30" t="n"/>
      <c r="L261" s="31">
        <f>I261*K261</f>
        <v/>
      </c>
      <c r="M261" s="30" t="n"/>
      <c r="N261" s="30" t="n"/>
      <c r="O261" s="31">
        <f>L261+M261+N261</f>
        <v/>
      </c>
      <c r="P261" s="29" t="n"/>
      <c r="Q261" s="32" t="n"/>
      <c r="R261" s="27" t="n"/>
      <c r="S261" s="27" t="n"/>
      <c r="T261" s="27" t="n"/>
      <c r="U261" s="27" t="n"/>
    </row>
    <row r="262">
      <c r="A262" s="27" t="n"/>
      <c r="B262" s="15">
        <f>IFERROR(INDEX(Lists!$C$2:$C$21,MATCH(A262,Lists!$B$2:$B$21,0)),"")</f>
        <v/>
      </c>
      <c r="C262" s="27" t="n"/>
      <c r="D262" s="27" t="n"/>
      <c r="E262" s="27" t="n"/>
      <c r="F262" s="27" t="n"/>
      <c r="G262" s="27" t="n"/>
      <c r="H262" s="27" t="n"/>
      <c r="I262" s="28" t="n"/>
      <c r="J262" s="29" t="n"/>
      <c r="K262" s="30" t="n"/>
      <c r="L262" s="31">
        <f>I262*K262</f>
        <v/>
      </c>
      <c r="M262" s="30" t="n"/>
      <c r="N262" s="30" t="n"/>
      <c r="O262" s="31">
        <f>L262+M262+N262</f>
        <v/>
      </c>
      <c r="P262" s="29" t="n"/>
      <c r="Q262" s="32" t="n"/>
      <c r="R262" s="27" t="n"/>
      <c r="S262" s="27" t="n"/>
      <c r="T262" s="27" t="n"/>
      <c r="U262" s="27" t="n"/>
    </row>
    <row r="263">
      <c r="A263" s="27" t="n"/>
      <c r="B263" s="15">
        <f>IFERROR(INDEX(Lists!$C$2:$C$21,MATCH(A263,Lists!$B$2:$B$21,0)),"")</f>
        <v/>
      </c>
      <c r="C263" s="27" t="n"/>
      <c r="D263" s="27" t="n"/>
      <c r="E263" s="27" t="n"/>
      <c r="F263" s="27" t="n"/>
      <c r="G263" s="27" t="n"/>
      <c r="H263" s="27" t="n"/>
      <c r="I263" s="28" t="n"/>
      <c r="J263" s="29" t="n"/>
      <c r="K263" s="30" t="n"/>
      <c r="L263" s="31">
        <f>I263*K263</f>
        <v/>
      </c>
      <c r="M263" s="30" t="n"/>
      <c r="N263" s="30" t="n"/>
      <c r="O263" s="31">
        <f>L263+M263+N263</f>
        <v/>
      </c>
      <c r="P263" s="29" t="n"/>
      <c r="Q263" s="32" t="n"/>
      <c r="R263" s="27" t="n"/>
      <c r="S263" s="27" t="n"/>
      <c r="T263" s="27" t="n"/>
      <c r="U263" s="27" t="n"/>
    </row>
    <row r="264">
      <c r="A264" s="27" t="n"/>
      <c r="B264" s="15">
        <f>IFERROR(INDEX(Lists!$C$2:$C$21,MATCH(A264,Lists!$B$2:$B$21,0)),"")</f>
        <v/>
      </c>
      <c r="C264" s="27" t="n"/>
      <c r="D264" s="27" t="n"/>
      <c r="E264" s="27" t="n"/>
      <c r="F264" s="27" t="n"/>
      <c r="G264" s="27" t="n"/>
      <c r="H264" s="27" t="n"/>
      <c r="I264" s="28" t="n"/>
      <c r="J264" s="29" t="n"/>
      <c r="K264" s="30" t="n"/>
      <c r="L264" s="31">
        <f>I264*K264</f>
        <v/>
      </c>
      <c r="M264" s="30" t="n"/>
      <c r="N264" s="30" t="n"/>
      <c r="O264" s="31">
        <f>L264+M264+N264</f>
        <v/>
      </c>
      <c r="P264" s="29" t="n"/>
      <c r="Q264" s="32" t="n"/>
      <c r="R264" s="27" t="n"/>
      <c r="S264" s="27" t="n"/>
      <c r="T264" s="27" t="n"/>
      <c r="U264" s="27" t="n"/>
    </row>
    <row r="265">
      <c r="A265" s="27" t="n"/>
      <c r="B265" s="15">
        <f>IFERROR(INDEX(Lists!$C$2:$C$21,MATCH(A265,Lists!$B$2:$B$21,0)),"")</f>
        <v/>
      </c>
      <c r="C265" s="27" t="n"/>
      <c r="D265" s="27" t="n"/>
      <c r="E265" s="27" t="n"/>
      <c r="F265" s="27" t="n"/>
      <c r="G265" s="27" t="n"/>
      <c r="H265" s="27" t="n"/>
      <c r="I265" s="28" t="n"/>
      <c r="J265" s="29" t="n"/>
      <c r="K265" s="30" t="n"/>
      <c r="L265" s="31">
        <f>I265*K265</f>
        <v/>
      </c>
      <c r="M265" s="30" t="n"/>
      <c r="N265" s="30" t="n"/>
      <c r="O265" s="31">
        <f>L265+M265+N265</f>
        <v/>
      </c>
      <c r="P265" s="29" t="n"/>
      <c r="Q265" s="32" t="n"/>
      <c r="R265" s="27" t="n"/>
      <c r="S265" s="27" t="n"/>
      <c r="T265" s="27" t="n"/>
      <c r="U265" s="27" t="n"/>
    </row>
    <row r="266">
      <c r="A266" s="27" t="n"/>
      <c r="B266" s="15">
        <f>IFERROR(INDEX(Lists!$C$2:$C$21,MATCH(A266,Lists!$B$2:$B$21,0)),"")</f>
        <v/>
      </c>
      <c r="C266" s="27" t="n"/>
      <c r="D266" s="27" t="n"/>
      <c r="E266" s="27" t="n"/>
      <c r="F266" s="27" t="n"/>
      <c r="G266" s="27" t="n"/>
      <c r="H266" s="27" t="n"/>
      <c r="I266" s="28" t="n"/>
      <c r="J266" s="29" t="n"/>
      <c r="K266" s="30" t="n"/>
      <c r="L266" s="31">
        <f>I266*K266</f>
        <v/>
      </c>
      <c r="M266" s="30" t="n"/>
      <c r="N266" s="30" t="n"/>
      <c r="O266" s="31">
        <f>L266+M266+N266</f>
        <v/>
      </c>
      <c r="P266" s="29" t="n"/>
      <c r="Q266" s="32" t="n"/>
      <c r="R266" s="27" t="n"/>
      <c r="S266" s="27" t="n"/>
      <c r="T266" s="27" t="n"/>
      <c r="U266" s="27" t="n"/>
    </row>
    <row r="267">
      <c r="A267" s="27" t="n"/>
      <c r="B267" s="15">
        <f>IFERROR(INDEX(Lists!$C$2:$C$21,MATCH(A267,Lists!$B$2:$B$21,0)),"")</f>
        <v/>
      </c>
      <c r="C267" s="27" t="n"/>
      <c r="D267" s="27" t="n"/>
      <c r="E267" s="27" t="n"/>
      <c r="F267" s="27" t="n"/>
      <c r="G267" s="27" t="n"/>
      <c r="H267" s="27" t="n"/>
      <c r="I267" s="28" t="n"/>
      <c r="J267" s="29" t="n"/>
      <c r="K267" s="30" t="n"/>
      <c r="L267" s="31">
        <f>I267*K267</f>
        <v/>
      </c>
      <c r="M267" s="30" t="n"/>
      <c r="N267" s="30" t="n"/>
      <c r="O267" s="31">
        <f>L267+M267+N267</f>
        <v/>
      </c>
      <c r="P267" s="29" t="n"/>
      <c r="Q267" s="32" t="n"/>
      <c r="R267" s="27" t="n"/>
      <c r="S267" s="27" t="n"/>
      <c r="T267" s="27" t="n"/>
      <c r="U267" s="27" t="n"/>
    </row>
    <row r="268">
      <c r="A268" s="27" t="n"/>
      <c r="B268" s="15">
        <f>IFERROR(INDEX(Lists!$C$2:$C$21,MATCH(A268,Lists!$B$2:$B$21,0)),"")</f>
        <v/>
      </c>
      <c r="C268" s="27" t="n"/>
      <c r="D268" s="27" t="n"/>
      <c r="E268" s="27" t="n"/>
      <c r="F268" s="27" t="n"/>
      <c r="G268" s="27" t="n"/>
      <c r="H268" s="27" t="n"/>
      <c r="I268" s="28" t="n"/>
      <c r="J268" s="29" t="n"/>
      <c r="K268" s="30" t="n"/>
      <c r="L268" s="31">
        <f>I268*K268</f>
        <v/>
      </c>
      <c r="M268" s="30" t="n"/>
      <c r="N268" s="30" t="n"/>
      <c r="O268" s="31">
        <f>L268+M268+N268</f>
        <v/>
      </c>
      <c r="P268" s="29" t="n"/>
      <c r="Q268" s="32" t="n"/>
      <c r="R268" s="27" t="n"/>
      <c r="S268" s="27" t="n"/>
      <c r="T268" s="27" t="n"/>
      <c r="U268" s="27" t="n"/>
    </row>
    <row r="269">
      <c r="A269" s="27" t="n"/>
      <c r="B269" s="15">
        <f>IFERROR(INDEX(Lists!$C$2:$C$21,MATCH(A269,Lists!$B$2:$B$21,0)),"")</f>
        <v/>
      </c>
      <c r="C269" s="27" t="n"/>
      <c r="D269" s="27" t="n"/>
      <c r="E269" s="27" t="n"/>
      <c r="F269" s="27" t="n"/>
      <c r="G269" s="27" t="n"/>
      <c r="H269" s="27" t="n"/>
      <c r="I269" s="28" t="n"/>
      <c r="J269" s="29" t="n"/>
      <c r="K269" s="30" t="n"/>
      <c r="L269" s="31">
        <f>I269*K269</f>
        <v/>
      </c>
      <c r="M269" s="30" t="n"/>
      <c r="N269" s="30" t="n"/>
      <c r="O269" s="31">
        <f>L269+M269+N269</f>
        <v/>
      </c>
      <c r="P269" s="29" t="n"/>
      <c r="Q269" s="32" t="n"/>
      <c r="R269" s="27" t="n"/>
      <c r="S269" s="27" t="n"/>
      <c r="T269" s="27" t="n"/>
      <c r="U269" s="27" t="n"/>
    </row>
    <row r="270">
      <c r="A270" s="27" t="n"/>
      <c r="B270" s="15">
        <f>IFERROR(INDEX(Lists!$C$2:$C$21,MATCH(A270,Lists!$B$2:$B$21,0)),"")</f>
        <v/>
      </c>
      <c r="C270" s="27" t="n"/>
      <c r="D270" s="27" t="n"/>
      <c r="E270" s="27" t="n"/>
      <c r="F270" s="27" t="n"/>
      <c r="G270" s="27" t="n"/>
      <c r="H270" s="27" t="n"/>
      <c r="I270" s="28" t="n"/>
      <c r="J270" s="29" t="n"/>
      <c r="K270" s="30" t="n"/>
      <c r="L270" s="31">
        <f>I270*K270</f>
        <v/>
      </c>
      <c r="M270" s="30" t="n"/>
      <c r="N270" s="30" t="n"/>
      <c r="O270" s="31">
        <f>L270+M270+N270</f>
        <v/>
      </c>
      <c r="P270" s="29" t="n"/>
      <c r="Q270" s="32" t="n"/>
      <c r="R270" s="27" t="n"/>
      <c r="S270" s="27" t="n"/>
      <c r="T270" s="27" t="n"/>
      <c r="U270" s="27" t="n"/>
    </row>
    <row r="271">
      <c r="A271" s="27" t="n"/>
      <c r="B271" s="15">
        <f>IFERROR(INDEX(Lists!$C$2:$C$21,MATCH(A271,Lists!$B$2:$B$21,0)),"")</f>
        <v/>
      </c>
      <c r="C271" s="27" t="n"/>
      <c r="D271" s="27" t="n"/>
      <c r="E271" s="27" t="n"/>
      <c r="F271" s="27" t="n"/>
      <c r="G271" s="27" t="n"/>
      <c r="H271" s="27" t="n"/>
      <c r="I271" s="28" t="n"/>
      <c r="J271" s="29" t="n"/>
      <c r="K271" s="30" t="n"/>
      <c r="L271" s="31">
        <f>I271*K271</f>
        <v/>
      </c>
      <c r="M271" s="30" t="n"/>
      <c r="N271" s="30" t="n"/>
      <c r="O271" s="31">
        <f>L271+M271+N271</f>
        <v/>
      </c>
      <c r="P271" s="29" t="n"/>
      <c r="Q271" s="32" t="n"/>
      <c r="R271" s="27" t="n"/>
      <c r="S271" s="27" t="n"/>
      <c r="T271" s="27" t="n"/>
      <c r="U271" s="27" t="n"/>
    </row>
    <row r="272">
      <c r="A272" s="27" t="n"/>
      <c r="B272" s="15">
        <f>IFERROR(INDEX(Lists!$C$2:$C$21,MATCH(A272,Lists!$B$2:$B$21,0)),"")</f>
        <v/>
      </c>
      <c r="C272" s="27" t="n"/>
      <c r="D272" s="27" t="n"/>
      <c r="E272" s="27" t="n"/>
      <c r="F272" s="27" t="n"/>
      <c r="G272" s="27" t="n"/>
      <c r="H272" s="27" t="n"/>
      <c r="I272" s="28" t="n"/>
      <c r="J272" s="29" t="n"/>
      <c r="K272" s="30" t="n"/>
      <c r="L272" s="31">
        <f>I272*K272</f>
        <v/>
      </c>
      <c r="M272" s="30" t="n"/>
      <c r="N272" s="30" t="n"/>
      <c r="O272" s="31">
        <f>L272+M272+N272</f>
        <v/>
      </c>
      <c r="P272" s="29" t="n"/>
      <c r="Q272" s="32" t="n"/>
      <c r="R272" s="27" t="n"/>
      <c r="S272" s="27" t="n"/>
      <c r="T272" s="27" t="n"/>
      <c r="U272" s="27" t="n"/>
    </row>
    <row r="273">
      <c r="A273" s="27" t="n"/>
      <c r="B273" s="15">
        <f>IFERROR(INDEX(Lists!$C$2:$C$21,MATCH(A273,Lists!$B$2:$B$21,0)),"")</f>
        <v/>
      </c>
      <c r="C273" s="27" t="n"/>
      <c r="D273" s="27" t="n"/>
      <c r="E273" s="27" t="n"/>
      <c r="F273" s="27" t="n"/>
      <c r="G273" s="27" t="n"/>
      <c r="H273" s="27" t="n"/>
      <c r="I273" s="28" t="n"/>
      <c r="J273" s="29" t="n"/>
      <c r="K273" s="30" t="n"/>
      <c r="L273" s="31">
        <f>I273*K273</f>
        <v/>
      </c>
      <c r="M273" s="30" t="n"/>
      <c r="N273" s="30" t="n"/>
      <c r="O273" s="31">
        <f>L273+M273+N273</f>
        <v/>
      </c>
      <c r="P273" s="29" t="n"/>
      <c r="Q273" s="32" t="n"/>
      <c r="R273" s="27" t="n"/>
      <c r="S273" s="27" t="n"/>
      <c r="T273" s="27" t="n"/>
      <c r="U273" s="27" t="n"/>
    </row>
    <row r="274">
      <c r="A274" s="27" t="n"/>
      <c r="B274" s="15">
        <f>IFERROR(INDEX(Lists!$C$2:$C$21,MATCH(A274,Lists!$B$2:$B$21,0)),"")</f>
        <v/>
      </c>
      <c r="C274" s="27" t="n"/>
      <c r="D274" s="27" t="n"/>
      <c r="E274" s="27" t="n"/>
      <c r="F274" s="27" t="n"/>
      <c r="G274" s="27" t="n"/>
      <c r="H274" s="27" t="n"/>
      <c r="I274" s="28" t="n"/>
      <c r="J274" s="29" t="n"/>
      <c r="K274" s="30" t="n"/>
      <c r="L274" s="31">
        <f>I274*K274</f>
        <v/>
      </c>
      <c r="M274" s="30" t="n"/>
      <c r="N274" s="30" t="n"/>
      <c r="O274" s="31">
        <f>L274+M274+N274</f>
        <v/>
      </c>
      <c r="P274" s="29" t="n"/>
      <c r="Q274" s="32" t="n"/>
      <c r="R274" s="27" t="n"/>
      <c r="S274" s="27" t="n"/>
      <c r="T274" s="27" t="n"/>
      <c r="U274" s="27" t="n"/>
    </row>
    <row r="275">
      <c r="A275" s="27" t="n"/>
      <c r="B275" s="15">
        <f>IFERROR(INDEX(Lists!$C$2:$C$21,MATCH(A275,Lists!$B$2:$B$21,0)),"")</f>
        <v/>
      </c>
      <c r="C275" s="27" t="n"/>
      <c r="D275" s="27" t="n"/>
      <c r="E275" s="27" t="n"/>
      <c r="F275" s="27" t="n"/>
      <c r="G275" s="27" t="n"/>
      <c r="H275" s="27" t="n"/>
      <c r="I275" s="28" t="n"/>
      <c r="J275" s="29" t="n"/>
      <c r="K275" s="30" t="n"/>
      <c r="L275" s="31">
        <f>I275*K275</f>
        <v/>
      </c>
      <c r="M275" s="30" t="n"/>
      <c r="N275" s="30" t="n"/>
      <c r="O275" s="31">
        <f>L275+M275+N275</f>
        <v/>
      </c>
      <c r="P275" s="29" t="n"/>
      <c r="Q275" s="32" t="n"/>
      <c r="R275" s="27" t="n"/>
      <c r="S275" s="27" t="n"/>
      <c r="T275" s="27" t="n"/>
      <c r="U275" s="27" t="n"/>
    </row>
    <row r="276">
      <c r="A276" s="27" t="n"/>
      <c r="B276" s="15">
        <f>IFERROR(INDEX(Lists!$C$2:$C$21,MATCH(A276,Lists!$B$2:$B$21,0)),"")</f>
        <v/>
      </c>
      <c r="C276" s="27" t="n"/>
      <c r="D276" s="27" t="n"/>
      <c r="E276" s="27" t="n"/>
      <c r="F276" s="27" t="n"/>
      <c r="G276" s="27" t="n"/>
      <c r="H276" s="27" t="n"/>
      <c r="I276" s="28" t="n"/>
      <c r="J276" s="29" t="n"/>
      <c r="K276" s="30" t="n"/>
      <c r="L276" s="31">
        <f>I276*K276</f>
        <v/>
      </c>
      <c r="M276" s="30" t="n"/>
      <c r="N276" s="30" t="n"/>
      <c r="O276" s="31">
        <f>L276+M276+N276</f>
        <v/>
      </c>
      <c r="P276" s="29" t="n"/>
      <c r="Q276" s="32" t="n"/>
      <c r="R276" s="27" t="n"/>
      <c r="S276" s="27" t="n"/>
      <c r="T276" s="27" t="n"/>
      <c r="U276" s="27" t="n"/>
    </row>
    <row r="277">
      <c r="A277" s="27" t="n"/>
      <c r="B277" s="15">
        <f>IFERROR(INDEX(Lists!$C$2:$C$21,MATCH(A277,Lists!$B$2:$B$21,0)),"")</f>
        <v/>
      </c>
      <c r="C277" s="27" t="n"/>
      <c r="D277" s="27" t="n"/>
      <c r="E277" s="27" t="n"/>
      <c r="F277" s="27" t="n"/>
      <c r="G277" s="27" t="n"/>
      <c r="H277" s="27" t="n"/>
      <c r="I277" s="28" t="n"/>
      <c r="J277" s="29" t="n"/>
      <c r="K277" s="30" t="n"/>
      <c r="L277" s="31">
        <f>I277*K277</f>
        <v/>
      </c>
      <c r="M277" s="30" t="n"/>
      <c r="N277" s="30" t="n"/>
      <c r="O277" s="31">
        <f>L277+M277+N277</f>
        <v/>
      </c>
      <c r="P277" s="29" t="n"/>
      <c r="Q277" s="32" t="n"/>
      <c r="R277" s="27" t="n"/>
      <c r="S277" s="27" t="n"/>
      <c r="T277" s="27" t="n"/>
      <c r="U277" s="27" t="n"/>
    </row>
    <row r="278">
      <c r="A278" s="27" t="n"/>
      <c r="B278" s="15">
        <f>IFERROR(INDEX(Lists!$C$2:$C$21,MATCH(A278,Lists!$B$2:$B$21,0)),"")</f>
        <v/>
      </c>
      <c r="C278" s="27" t="n"/>
      <c r="D278" s="27" t="n"/>
      <c r="E278" s="27" t="n"/>
      <c r="F278" s="27" t="n"/>
      <c r="G278" s="27" t="n"/>
      <c r="H278" s="27" t="n"/>
      <c r="I278" s="28" t="n"/>
      <c r="J278" s="29" t="n"/>
      <c r="K278" s="30" t="n"/>
      <c r="L278" s="31">
        <f>I278*K278</f>
        <v/>
      </c>
      <c r="M278" s="30" t="n"/>
      <c r="N278" s="30" t="n"/>
      <c r="O278" s="31">
        <f>L278+M278+N278</f>
        <v/>
      </c>
      <c r="P278" s="29" t="n"/>
      <c r="Q278" s="32" t="n"/>
      <c r="R278" s="27" t="n"/>
      <c r="S278" s="27" t="n"/>
      <c r="T278" s="27" t="n"/>
      <c r="U278" s="27" t="n"/>
    </row>
    <row r="279">
      <c r="A279" s="27" t="n"/>
      <c r="B279" s="15">
        <f>IFERROR(INDEX(Lists!$C$2:$C$21,MATCH(A279,Lists!$B$2:$B$21,0)),"")</f>
        <v/>
      </c>
      <c r="C279" s="27" t="n"/>
      <c r="D279" s="27" t="n"/>
      <c r="E279" s="27" t="n"/>
      <c r="F279" s="27" t="n"/>
      <c r="G279" s="27" t="n"/>
      <c r="H279" s="27" t="n"/>
      <c r="I279" s="28" t="n"/>
      <c r="J279" s="29" t="n"/>
      <c r="K279" s="30" t="n"/>
      <c r="L279" s="31">
        <f>I279*K279</f>
        <v/>
      </c>
      <c r="M279" s="30" t="n"/>
      <c r="N279" s="30" t="n"/>
      <c r="O279" s="31">
        <f>L279+M279+N279</f>
        <v/>
      </c>
      <c r="P279" s="29" t="n"/>
      <c r="Q279" s="32" t="n"/>
      <c r="R279" s="27" t="n"/>
      <c r="S279" s="27" t="n"/>
      <c r="T279" s="27" t="n"/>
      <c r="U279" s="27" t="n"/>
    </row>
    <row r="280">
      <c r="A280" s="27" t="n"/>
      <c r="B280" s="15">
        <f>IFERROR(INDEX(Lists!$C$2:$C$21,MATCH(A280,Lists!$B$2:$B$21,0)),"")</f>
        <v/>
      </c>
      <c r="C280" s="27" t="n"/>
      <c r="D280" s="27" t="n"/>
      <c r="E280" s="27" t="n"/>
      <c r="F280" s="27" t="n"/>
      <c r="G280" s="27" t="n"/>
      <c r="H280" s="27" t="n"/>
      <c r="I280" s="28" t="n"/>
      <c r="J280" s="29" t="n"/>
      <c r="K280" s="30" t="n"/>
      <c r="L280" s="31">
        <f>I280*K280</f>
        <v/>
      </c>
      <c r="M280" s="30" t="n"/>
      <c r="N280" s="30" t="n"/>
      <c r="O280" s="31">
        <f>L280+M280+N280</f>
        <v/>
      </c>
      <c r="P280" s="29" t="n"/>
      <c r="Q280" s="32" t="n"/>
      <c r="R280" s="27" t="n"/>
      <c r="S280" s="27" t="n"/>
      <c r="T280" s="27" t="n"/>
      <c r="U280" s="27" t="n"/>
    </row>
    <row r="281">
      <c r="A281" s="27" t="n"/>
      <c r="B281" s="15">
        <f>IFERROR(INDEX(Lists!$C$2:$C$21,MATCH(A281,Lists!$B$2:$B$21,0)),"")</f>
        <v/>
      </c>
      <c r="C281" s="27" t="n"/>
      <c r="D281" s="27" t="n"/>
      <c r="E281" s="27" t="n"/>
      <c r="F281" s="27" t="n"/>
      <c r="G281" s="27" t="n"/>
      <c r="H281" s="27" t="n"/>
      <c r="I281" s="28" t="n"/>
      <c r="J281" s="29" t="n"/>
      <c r="K281" s="30" t="n"/>
      <c r="L281" s="31">
        <f>I281*K281</f>
        <v/>
      </c>
      <c r="M281" s="30" t="n"/>
      <c r="N281" s="30" t="n"/>
      <c r="O281" s="31">
        <f>L281+M281+N281</f>
        <v/>
      </c>
      <c r="P281" s="29" t="n"/>
      <c r="Q281" s="32" t="n"/>
      <c r="R281" s="27" t="n"/>
      <c r="S281" s="27" t="n"/>
      <c r="T281" s="27" t="n"/>
      <c r="U281" s="27" t="n"/>
    </row>
    <row r="282">
      <c r="A282" s="27" t="n"/>
      <c r="B282" s="15">
        <f>IFERROR(INDEX(Lists!$C$2:$C$21,MATCH(A282,Lists!$B$2:$B$21,0)),"")</f>
        <v/>
      </c>
      <c r="C282" s="27" t="n"/>
      <c r="D282" s="27" t="n"/>
      <c r="E282" s="27" t="n"/>
      <c r="F282" s="27" t="n"/>
      <c r="G282" s="27" t="n"/>
      <c r="H282" s="27" t="n"/>
      <c r="I282" s="28" t="n"/>
      <c r="J282" s="29" t="n"/>
      <c r="K282" s="30" t="n"/>
      <c r="L282" s="31">
        <f>I282*K282</f>
        <v/>
      </c>
      <c r="M282" s="30" t="n"/>
      <c r="N282" s="30" t="n"/>
      <c r="O282" s="31">
        <f>L282+M282+N282</f>
        <v/>
      </c>
      <c r="P282" s="29" t="n"/>
      <c r="Q282" s="32" t="n"/>
      <c r="R282" s="27" t="n"/>
      <c r="S282" s="27" t="n"/>
      <c r="T282" s="27" t="n"/>
      <c r="U282" s="27" t="n"/>
    </row>
    <row r="283">
      <c r="A283" s="27" t="n"/>
      <c r="B283" s="15">
        <f>IFERROR(INDEX(Lists!$C$2:$C$21,MATCH(A283,Lists!$B$2:$B$21,0)),"")</f>
        <v/>
      </c>
      <c r="C283" s="27" t="n"/>
      <c r="D283" s="27" t="n"/>
      <c r="E283" s="27" t="n"/>
      <c r="F283" s="27" t="n"/>
      <c r="G283" s="27" t="n"/>
      <c r="H283" s="27" t="n"/>
      <c r="I283" s="28" t="n"/>
      <c r="J283" s="29" t="n"/>
      <c r="K283" s="30" t="n"/>
      <c r="L283" s="31">
        <f>I283*K283</f>
        <v/>
      </c>
      <c r="M283" s="30" t="n"/>
      <c r="N283" s="30" t="n"/>
      <c r="O283" s="31">
        <f>L283+M283+N283</f>
        <v/>
      </c>
      <c r="P283" s="29" t="n"/>
      <c r="Q283" s="32" t="n"/>
      <c r="R283" s="27" t="n"/>
      <c r="S283" s="27" t="n"/>
      <c r="T283" s="27" t="n"/>
      <c r="U283" s="27" t="n"/>
    </row>
    <row r="284">
      <c r="A284" s="27" t="n"/>
      <c r="B284" s="15">
        <f>IFERROR(INDEX(Lists!$C$2:$C$21,MATCH(A284,Lists!$B$2:$B$21,0)),"")</f>
        <v/>
      </c>
      <c r="C284" s="27" t="n"/>
      <c r="D284" s="27" t="n"/>
      <c r="E284" s="27" t="n"/>
      <c r="F284" s="27" t="n"/>
      <c r="G284" s="27" t="n"/>
      <c r="H284" s="27" t="n"/>
      <c r="I284" s="28" t="n"/>
      <c r="J284" s="29" t="n"/>
      <c r="K284" s="30" t="n"/>
      <c r="L284" s="31">
        <f>I284*K284</f>
        <v/>
      </c>
      <c r="M284" s="30" t="n"/>
      <c r="N284" s="30" t="n"/>
      <c r="O284" s="31">
        <f>L284+M284+N284</f>
        <v/>
      </c>
      <c r="P284" s="29" t="n"/>
      <c r="Q284" s="32" t="n"/>
      <c r="R284" s="27" t="n"/>
      <c r="S284" s="27" t="n"/>
      <c r="T284" s="27" t="n"/>
      <c r="U284" s="27" t="n"/>
    </row>
    <row r="285">
      <c r="A285" s="27" t="n"/>
      <c r="B285" s="15">
        <f>IFERROR(INDEX(Lists!$C$2:$C$21,MATCH(A285,Lists!$B$2:$B$21,0)),"")</f>
        <v/>
      </c>
      <c r="C285" s="27" t="n"/>
      <c r="D285" s="27" t="n"/>
      <c r="E285" s="27" t="n"/>
      <c r="F285" s="27" t="n"/>
      <c r="G285" s="27" t="n"/>
      <c r="H285" s="27" t="n"/>
      <c r="I285" s="28" t="n"/>
      <c r="J285" s="29" t="n"/>
      <c r="K285" s="30" t="n"/>
      <c r="L285" s="31">
        <f>I285*K285</f>
        <v/>
      </c>
      <c r="M285" s="30" t="n"/>
      <c r="N285" s="30" t="n"/>
      <c r="O285" s="31">
        <f>L285+M285+N285</f>
        <v/>
      </c>
      <c r="P285" s="29" t="n"/>
      <c r="Q285" s="32" t="n"/>
      <c r="R285" s="27" t="n"/>
      <c r="S285" s="27" t="n"/>
      <c r="T285" s="27" t="n"/>
      <c r="U285" s="27" t="n"/>
    </row>
    <row r="286">
      <c r="A286" s="27" t="n"/>
      <c r="B286" s="15">
        <f>IFERROR(INDEX(Lists!$C$2:$C$21,MATCH(A286,Lists!$B$2:$B$21,0)),"")</f>
        <v/>
      </c>
      <c r="C286" s="27" t="n"/>
      <c r="D286" s="27" t="n"/>
      <c r="E286" s="27" t="n"/>
      <c r="F286" s="27" t="n"/>
      <c r="G286" s="27" t="n"/>
      <c r="H286" s="27" t="n"/>
      <c r="I286" s="28" t="n"/>
      <c r="J286" s="29" t="n"/>
      <c r="K286" s="30" t="n"/>
      <c r="L286" s="31">
        <f>I286*K286</f>
        <v/>
      </c>
      <c r="M286" s="30" t="n"/>
      <c r="N286" s="30" t="n"/>
      <c r="O286" s="31">
        <f>L286+M286+N286</f>
        <v/>
      </c>
      <c r="P286" s="29" t="n"/>
      <c r="Q286" s="32" t="n"/>
      <c r="R286" s="27" t="n"/>
      <c r="S286" s="27" t="n"/>
      <c r="T286" s="27" t="n"/>
      <c r="U286" s="27" t="n"/>
    </row>
    <row r="287">
      <c r="A287" s="27" t="n"/>
      <c r="B287" s="15">
        <f>IFERROR(INDEX(Lists!$C$2:$C$21,MATCH(A287,Lists!$B$2:$B$21,0)),"")</f>
        <v/>
      </c>
      <c r="C287" s="27" t="n"/>
      <c r="D287" s="27" t="n"/>
      <c r="E287" s="27" t="n"/>
      <c r="F287" s="27" t="n"/>
      <c r="G287" s="27" t="n"/>
      <c r="H287" s="27" t="n"/>
      <c r="I287" s="28" t="n"/>
      <c r="J287" s="29" t="n"/>
      <c r="K287" s="30" t="n"/>
      <c r="L287" s="31">
        <f>I287*K287</f>
        <v/>
      </c>
      <c r="M287" s="30" t="n"/>
      <c r="N287" s="30" t="n"/>
      <c r="O287" s="31">
        <f>L287+M287+N287</f>
        <v/>
      </c>
      <c r="P287" s="29" t="n"/>
      <c r="Q287" s="32" t="n"/>
      <c r="R287" s="27" t="n"/>
      <c r="S287" s="27" t="n"/>
      <c r="T287" s="27" t="n"/>
      <c r="U287" s="27" t="n"/>
    </row>
    <row r="288">
      <c r="A288" s="27" t="n"/>
      <c r="B288" s="15">
        <f>IFERROR(INDEX(Lists!$C$2:$C$21,MATCH(A288,Lists!$B$2:$B$21,0)),"")</f>
        <v/>
      </c>
      <c r="C288" s="27" t="n"/>
      <c r="D288" s="27" t="n"/>
      <c r="E288" s="27" t="n"/>
      <c r="F288" s="27" t="n"/>
      <c r="G288" s="27" t="n"/>
      <c r="H288" s="27" t="n"/>
      <c r="I288" s="28" t="n"/>
      <c r="J288" s="29" t="n"/>
      <c r="K288" s="30" t="n"/>
      <c r="L288" s="31">
        <f>I288*K288</f>
        <v/>
      </c>
      <c r="M288" s="30" t="n"/>
      <c r="N288" s="30" t="n"/>
      <c r="O288" s="31">
        <f>L288+M288+N288</f>
        <v/>
      </c>
      <c r="P288" s="29" t="n"/>
      <c r="Q288" s="32" t="n"/>
      <c r="R288" s="27" t="n"/>
      <c r="S288" s="27" t="n"/>
      <c r="T288" s="27" t="n"/>
      <c r="U288" s="27" t="n"/>
    </row>
    <row r="289">
      <c r="A289" s="27" t="n"/>
      <c r="B289" s="15">
        <f>IFERROR(INDEX(Lists!$C$2:$C$21,MATCH(A289,Lists!$B$2:$B$21,0)),"")</f>
        <v/>
      </c>
      <c r="C289" s="27" t="n"/>
      <c r="D289" s="27" t="n"/>
      <c r="E289" s="27" t="n"/>
      <c r="F289" s="27" t="n"/>
      <c r="G289" s="27" t="n"/>
      <c r="H289" s="27" t="n"/>
      <c r="I289" s="28" t="n"/>
      <c r="J289" s="29" t="n"/>
      <c r="K289" s="30" t="n"/>
      <c r="L289" s="31">
        <f>I289*K289</f>
        <v/>
      </c>
      <c r="M289" s="30" t="n"/>
      <c r="N289" s="30" t="n"/>
      <c r="O289" s="31">
        <f>L289+M289+N289</f>
        <v/>
      </c>
      <c r="P289" s="29" t="n"/>
      <c r="Q289" s="32" t="n"/>
      <c r="R289" s="27" t="n"/>
      <c r="S289" s="27" t="n"/>
      <c r="T289" s="27" t="n"/>
      <c r="U289" s="27" t="n"/>
    </row>
    <row r="290">
      <c r="A290" s="27" t="n"/>
      <c r="B290" s="15">
        <f>IFERROR(INDEX(Lists!$C$2:$C$21,MATCH(A290,Lists!$B$2:$B$21,0)),"")</f>
        <v/>
      </c>
      <c r="C290" s="27" t="n"/>
      <c r="D290" s="27" t="n"/>
      <c r="E290" s="27" t="n"/>
      <c r="F290" s="27" t="n"/>
      <c r="G290" s="27" t="n"/>
      <c r="H290" s="27" t="n"/>
      <c r="I290" s="28" t="n"/>
      <c r="J290" s="29" t="n"/>
      <c r="K290" s="30" t="n"/>
      <c r="L290" s="31">
        <f>I290*K290</f>
        <v/>
      </c>
      <c r="M290" s="30" t="n"/>
      <c r="N290" s="30" t="n"/>
      <c r="O290" s="31">
        <f>L290+M290+N290</f>
        <v/>
      </c>
      <c r="P290" s="29" t="n"/>
      <c r="Q290" s="32" t="n"/>
      <c r="R290" s="27" t="n"/>
      <c r="S290" s="27" t="n"/>
      <c r="T290" s="27" t="n"/>
      <c r="U290" s="27" t="n"/>
    </row>
    <row r="291">
      <c r="A291" s="27" t="n"/>
      <c r="B291" s="15">
        <f>IFERROR(INDEX(Lists!$C$2:$C$21,MATCH(A291,Lists!$B$2:$B$21,0)),"")</f>
        <v/>
      </c>
      <c r="C291" s="27" t="n"/>
      <c r="D291" s="27" t="n"/>
      <c r="E291" s="27" t="n"/>
      <c r="F291" s="27" t="n"/>
      <c r="G291" s="27" t="n"/>
      <c r="H291" s="27" t="n"/>
      <c r="I291" s="28" t="n"/>
      <c r="J291" s="29" t="n"/>
      <c r="K291" s="30" t="n"/>
      <c r="L291" s="31">
        <f>I291*K291</f>
        <v/>
      </c>
      <c r="M291" s="30" t="n"/>
      <c r="N291" s="30" t="n"/>
      <c r="O291" s="31">
        <f>L291+M291+N291</f>
        <v/>
      </c>
      <c r="P291" s="29" t="n"/>
      <c r="Q291" s="32" t="n"/>
      <c r="R291" s="27" t="n"/>
      <c r="S291" s="27" t="n"/>
      <c r="T291" s="27" t="n"/>
      <c r="U291" s="27" t="n"/>
    </row>
    <row r="292">
      <c r="A292" s="27" t="n"/>
      <c r="B292" s="15">
        <f>IFERROR(INDEX(Lists!$C$2:$C$21,MATCH(A292,Lists!$B$2:$B$21,0)),"")</f>
        <v/>
      </c>
      <c r="C292" s="27" t="n"/>
      <c r="D292" s="27" t="n"/>
      <c r="E292" s="27" t="n"/>
      <c r="F292" s="27" t="n"/>
      <c r="G292" s="27" t="n"/>
      <c r="H292" s="27" t="n"/>
      <c r="I292" s="28" t="n"/>
      <c r="J292" s="29" t="n"/>
      <c r="K292" s="30" t="n"/>
      <c r="L292" s="31">
        <f>I292*K292</f>
        <v/>
      </c>
      <c r="M292" s="30" t="n"/>
      <c r="N292" s="30" t="n"/>
      <c r="O292" s="31">
        <f>L292+M292+N292</f>
        <v/>
      </c>
      <c r="P292" s="29" t="n"/>
      <c r="Q292" s="32" t="n"/>
      <c r="R292" s="27" t="n"/>
      <c r="S292" s="27" t="n"/>
      <c r="T292" s="27" t="n"/>
      <c r="U292" s="27" t="n"/>
    </row>
    <row r="293">
      <c r="A293" s="27" t="n"/>
      <c r="B293" s="15">
        <f>IFERROR(INDEX(Lists!$C$2:$C$21,MATCH(A293,Lists!$B$2:$B$21,0)),"")</f>
        <v/>
      </c>
      <c r="C293" s="27" t="n"/>
      <c r="D293" s="27" t="n"/>
      <c r="E293" s="27" t="n"/>
      <c r="F293" s="27" t="n"/>
      <c r="G293" s="27" t="n"/>
      <c r="H293" s="27" t="n"/>
      <c r="I293" s="28" t="n"/>
      <c r="J293" s="29" t="n"/>
      <c r="K293" s="30" t="n"/>
      <c r="L293" s="31">
        <f>I293*K293</f>
        <v/>
      </c>
      <c r="M293" s="30" t="n"/>
      <c r="N293" s="30" t="n"/>
      <c r="O293" s="31">
        <f>L293+M293+N293</f>
        <v/>
      </c>
      <c r="P293" s="29" t="n"/>
      <c r="Q293" s="32" t="n"/>
      <c r="R293" s="27" t="n"/>
      <c r="S293" s="27" t="n"/>
      <c r="T293" s="27" t="n"/>
      <c r="U293" s="27" t="n"/>
    </row>
    <row r="294">
      <c r="A294" s="27" t="n"/>
      <c r="B294" s="15">
        <f>IFERROR(INDEX(Lists!$C$2:$C$21,MATCH(A294,Lists!$B$2:$B$21,0)),"")</f>
        <v/>
      </c>
      <c r="C294" s="27" t="n"/>
      <c r="D294" s="27" t="n"/>
      <c r="E294" s="27" t="n"/>
      <c r="F294" s="27" t="n"/>
      <c r="G294" s="27" t="n"/>
      <c r="H294" s="27" t="n"/>
      <c r="I294" s="28" t="n"/>
      <c r="J294" s="29" t="n"/>
      <c r="K294" s="30" t="n"/>
      <c r="L294" s="31">
        <f>I294*K294</f>
        <v/>
      </c>
      <c r="M294" s="30" t="n"/>
      <c r="N294" s="30" t="n"/>
      <c r="O294" s="31">
        <f>L294+M294+N294</f>
        <v/>
      </c>
      <c r="P294" s="29" t="n"/>
      <c r="Q294" s="32" t="n"/>
      <c r="R294" s="27" t="n"/>
      <c r="S294" s="27" t="n"/>
      <c r="T294" s="27" t="n"/>
      <c r="U294" s="27" t="n"/>
    </row>
    <row r="295">
      <c r="A295" s="27" t="n"/>
      <c r="B295" s="15">
        <f>IFERROR(INDEX(Lists!$C$2:$C$21,MATCH(A295,Lists!$B$2:$B$21,0)),"")</f>
        <v/>
      </c>
      <c r="C295" s="27" t="n"/>
      <c r="D295" s="27" t="n"/>
      <c r="E295" s="27" t="n"/>
      <c r="F295" s="27" t="n"/>
      <c r="G295" s="27" t="n"/>
      <c r="H295" s="27" t="n"/>
      <c r="I295" s="28" t="n"/>
      <c r="J295" s="29" t="n"/>
      <c r="K295" s="30" t="n"/>
      <c r="L295" s="31">
        <f>I295*K295</f>
        <v/>
      </c>
      <c r="M295" s="30" t="n"/>
      <c r="N295" s="30" t="n"/>
      <c r="O295" s="31">
        <f>L295+M295+N295</f>
        <v/>
      </c>
      <c r="P295" s="29" t="n"/>
      <c r="Q295" s="32" t="n"/>
      <c r="R295" s="27" t="n"/>
      <c r="S295" s="27" t="n"/>
      <c r="T295" s="27" t="n"/>
      <c r="U295" s="27" t="n"/>
    </row>
    <row r="296">
      <c r="A296" s="27" t="n"/>
      <c r="B296" s="15">
        <f>IFERROR(INDEX(Lists!$C$2:$C$21,MATCH(A296,Lists!$B$2:$B$21,0)),"")</f>
        <v/>
      </c>
      <c r="C296" s="27" t="n"/>
      <c r="D296" s="27" t="n"/>
      <c r="E296" s="27" t="n"/>
      <c r="F296" s="27" t="n"/>
      <c r="G296" s="27" t="n"/>
      <c r="H296" s="27" t="n"/>
      <c r="I296" s="28" t="n"/>
      <c r="J296" s="29" t="n"/>
      <c r="K296" s="30" t="n"/>
      <c r="L296" s="31">
        <f>I296*K296</f>
        <v/>
      </c>
      <c r="M296" s="30" t="n"/>
      <c r="N296" s="30" t="n"/>
      <c r="O296" s="31">
        <f>L296+M296+N296</f>
        <v/>
      </c>
      <c r="P296" s="29" t="n"/>
      <c r="Q296" s="32" t="n"/>
      <c r="R296" s="27" t="n"/>
      <c r="S296" s="27" t="n"/>
      <c r="T296" s="27" t="n"/>
      <c r="U296" s="27" t="n"/>
    </row>
    <row r="297">
      <c r="A297" s="27" t="n"/>
      <c r="B297" s="15">
        <f>IFERROR(INDEX(Lists!$C$2:$C$21,MATCH(A297,Lists!$B$2:$B$21,0)),"")</f>
        <v/>
      </c>
      <c r="C297" s="27" t="n"/>
      <c r="D297" s="27" t="n"/>
      <c r="E297" s="27" t="n"/>
      <c r="F297" s="27" t="n"/>
      <c r="G297" s="27" t="n"/>
      <c r="H297" s="27" t="n"/>
      <c r="I297" s="28" t="n"/>
      <c r="J297" s="29" t="n"/>
      <c r="K297" s="30" t="n"/>
      <c r="L297" s="31">
        <f>I297*K297</f>
        <v/>
      </c>
      <c r="M297" s="30" t="n"/>
      <c r="N297" s="30" t="n"/>
      <c r="O297" s="31">
        <f>L297+M297+N297</f>
        <v/>
      </c>
      <c r="P297" s="29" t="n"/>
      <c r="Q297" s="32" t="n"/>
      <c r="R297" s="27" t="n"/>
      <c r="S297" s="27" t="n"/>
      <c r="T297" s="27" t="n"/>
      <c r="U297" s="27" t="n"/>
    </row>
    <row r="298">
      <c r="A298" s="27" t="n"/>
      <c r="B298" s="15">
        <f>IFERROR(INDEX(Lists!$C$2:$C$21,MATCH(A298,Lists!$B$2:$B$21,0)),"")</f>
        <v/>
      </c>
      <c r="C298" s="27" t="n"/>
      <c r="D298" s="27" t="n"/>
      <c r="E298" s="27" t="n"/>
      <c r="F298" s="27" t="n"/>
      <c r="G298" s="27" t="n"/>
      <c r="H298" s="27" t="n"/>
      <c r="I298" s="28" t="n"/>
      <c r="J298" s="29" t="n"/>
      <c r="K298" s="30" t="n"/>
      <c r="L298" s="31">
        <f>I298*K298</f>
        <v/>
      </c>
      <c r="M298" s="30" t="n"/>
      <c r="N298" s="30" t="n"/>
      <c r="O298" s="31">
        <f>L298+M298+N298</f>
        <v/>
      </c>
      <c r="P298" s="29" t="n"/>
      <c r="Q298" s="32" t="n"/>
      <c r="R298" s="27" t="n"/>
      <c r="S298" s="27" t="n"/>
      <c r="T298" s="27" t="n"/>
      <c r="U298" s="27" t="n"/>
    </row>
    <row r="299">
      <c r="A299" s="27" t="n"/>
      <c r="B299" s="15">
        <f>IFERROR(INDEX(Lists!$C$2:$C$21,MATCH(A299,Lists!$B$2:$B$21,0)),"")</f>
        <v/>
      </c>
      <c r="C299" s="27" t="n"/>
      <c r="D299" s="27" t="n"/>
      <c r="E299" s="27" t="n"/>
      <c r="F299" s="27" t="n"/>
      <c r="G299" s="27" t="n"/>
      <c r="H299" s="27" t="n"/>
      <c r="I299" s="28" t="n"/>
      <c r="J299" s="29" t="n"/>
      <c r="K299" s="30" t="n"/>
      <c r="L299" s="31">
        <f>I299*K299</f>
        <v/>
      </c>
      <c r="M299" s="30" t="n"/>
      <c r="N299" s="30" t="n"/>
      <c r="O299" s="31">
        <f>L299+M299+N299</f>
        <v/>
      </c>
      <c r="P299" s="29" t="n"/>
      <c r="Q299" s="32" t="n"/>
      <c r="R299" s="27" t="n"/>
      <c r="S299" s="27" t="n"/>
      <c r="T299" s="27" t="n"/>
      <c r="U299" s="27" t="n"/>
    </row>
    <row r="300">
      <c r="A300" s="27" t="n"/>
      <c r="B300" s="15">
        <f>IFERROR(INDEX(Lists!$C$2:$C$21,MATCH(A300,Lists!$B$2:$B$21,0)),"")</f>
        <v/>
      </c>
      <c r="C300" s="27" t="n"/>
      <c r="D300" s="27" t="n"/>
      <c r="E300" s="27" t="n"/>
      <c r="F300" s="27" t="n"/>
      <c r="G300" s="27" t="n"/>
      <c r="H300" s="27" t="n"/>
      <c r="I300" s="28" t="n"/>
      <c r="J300" s="29" t="n"/>
      <c r="K300" s="30" t="n"/>
      <c r="L300" s="31">
        <f>I300*K300</f>
        <v/>
      </c>
      <c r="M300" s="30" t="n"/>
      <c r="N300" s="30" t="n"/>
      <c r="O300" s="31">
        <f>L300+M300+N300</f>
        <v/>
      </c>
      <c r="P300" s="29" t="n"/>
      <c r="Q300" s="32" t="n"/>
      <c r="R300" s="27" t="n"/>
      <c r="S300" s="27" t="n"/>
      <c r="T300" s="27" t="n"/>
      <c r="U300" s="27" t="n"/>
    </row>
    <row r="301">
      <c r="A301" s="27" t="n"/>
      <c r="B301" s="15">
        <f>IFERROR(INDEX(Lists!$C$2:$C$21,MATCH(A301,Lists!$B$2:$B$21,0)),"")</f>
        <v/>
      </c>
      <c r="C301" s="27" t="n"/>
      <c r="D301" s="27" t="n"/>
      <c r="E301" s="27" t="n"/>
      <c r="F301" s="27" t="n"/>
      <c r="G301" s="27" t="n"/>
      <c r="H301" s="27" t="n"/>
      <c r="I301" s="28" t="n"/>
      <c r="J301" s="29" t="n"/>
      <c r="K301" s="30" t="n"/>
      <c r="L301" s="31">
        <f>I301*K301</f>
        <v/>
      </c>
      <c r="M301" s="30" t="n"/>
      <c r="N301" s="30" t="n"/>
      <c r="O301" s="31">
        <f>L301+M301+N301</f>
        <v/>
      </c>
      <c r="P301" s="29" t="n"/>
      <c r="Q301" s="32" t="n"/>
      <c r="R301" s="27" t="n"/>
      <c r="S301" s="27" t="n"/>
      <c r="T301" s="27" t="n"/>
      <c r="U301" s="27" t="n"/>
    </row>
    <row r="302">
      <c r="A302" s="27" t="n"/>
      <c r="B302" s="15">
        <f>IFERROR(INDEX(Lists!$C$2:$C$21,MATCH(A302,Lists!$B$2:$B$21,0)),"")</f>
        <v/>
      </c>
      <c r="C302" s="27" t="n"/>
      <c r="D302" s="27" t="n"/>
      <c r="E302" s="27" t="n"/>
      <c r="F302" s="27" t="n"/>
      <c r="G302" s="27" t="n"/>
      <c r="H302" s="27" t="n"/>
      <c r="I302" s="28" t="n"/>
      <c r="J302" s="29" t="n"/>
      <c r="K302" s="30" t="n"/>
      <c r="L302" s="31">
        <f>I302*K302</f>
        <v/>
      </c>
      <c r="M302" s="30" t="n"/>
      <c r="N302" s="30" t="n"/>
      <c r="O302" s="31">
        <f>L302+M302+N302</f>
        <v/>
      </c>
      <c r="P302" s="29" t="n"/>
      <c r="Q302" s="32" t="n"/>
      <c r="R302" s="27" t="n"/>
      <c r="S302" s="27" t="n"/>
      <c r="T302" s="27" t="n"/>
      <c r="U302" s="27" t="n"/>
    </row>
    <row r="303">
      <c r="A303" s="27" t="n"/>
      <c r="B303" s="15">
        <f>IFERROR(INDEX(Lists!$C$2:$C$21,MATCH(A303,Lists!$B$2:$B$21,0)),"")</f>
        <v/>
      </c>
      <c r="C303" s="27" t="n"/>
      <c r="D303" s="27" t="n"/>
      <c r="E303" s="27" t="n"/>
      <c r="F303" s="27" t="n"/>
      <c r="G303" s="27" t="n"/>
      <c r="H303" s="27" t="n"/>
      <c r="I303" s="28" t="n"/>
      <c r="J303" s="29" t="n"/>
      <c r="K303" s="30" t="n"/>
      <c r="L303" s="31">
        <f>I303*K303</f>
        <v/>
      </c>
      <c r="M303" s="30" t="n"/>
      <c r="N303" s="30" t="n"/>
      <c r="O303" s="31">
        <f>L303+M303+N303</f>
        <v/>
      </c>
      <c r="P303" s="29" t="n"/>
      <c r="Q303" s="32" t="n"/>
      <c r="R303" s="27" t="n"/>
      <c r="S303" s="27" t="n"/>
      <c r="T303" s="27" t="n"/>
      <c r="U303" s="27" t="n"/>
    </row>
  </sheetData>
  <mergeCells count="2">
    <mergeCell ref="A1:U1"/>
    <mergeCell ref="A2:U2"/>
  </mergeCells>
  <dataValidations count="5">
    <dataValidation sqref="A4:A303" showDropDown="0" showInputMessage="0" showErrorMessage="0" allowBlank="1" type="list">
      <formula1>=Lists!$B$2:$B$21</formula1>
    </dataValidation>
    <dataValidation sqref="J4:J303" showDropDown="0" showInputMessage="0" showErrorMessage="0" allowBlank="1" type="list">
      <formula1>=Lists!$E$2:$E$9</formula1>
    </dataValidation>
    <dataValidation sqref="S4:S303" showDropDown="0" showInputMessage="0" showErrorMessage="0" allowBlank="1" type="list">
      <formula1>=Lists!$F$2:$F$5</formula1>
    </dataValidation>
    <dataValidation sqref="T4:T303" showDropDown="0" showInputMessage="0" showErrorMessage="0" allowBlank="1" type="list">
      <formula1>=Lists!$G$2:$G$3</formula1>
    </dataValidation>
    <dataValidation sqref="P4:P303" showDropDown="0" showInputMessage="0" showErrorMessage="0" allowBlank="1" type="list">
      <formula1>=Breakout!$A$5:$A$14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zoomScale="100" workbookViewId="0">
      <pane xSplit="3" ySplit="12" topLeftCell="D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2" customHeight="1">
      <c r="A1" s="1" t="inlineStr">
        <is>
          <t>MARKUPS &amp; BOTTOM-LINE CALCULATIONS</t>
        </is>
      </c>
    </row>
    <row r="3" ht="18" customHeight="1">
      <c r="A3" s="5" t="inlineStr">
        <is>
          <t>GLOBAL DEFAULT RATES  (per-scope rows below default to these; type over a scope's rate to override just that scope)</t>
        </is>
      </c>
    </row>
    <row r="4">
      <c r="A4" s="2" t="inlineStr">
        <is>
          <t>Tax Rate (applied to Material + Freight)</t>
        </is>
      </c>
      <c r="G4" s="33" t="n">
        <v>0</v>
      </c>
    </row>
    <row r="5">
      <c r="A5" s="2" t="inlineStr">
        <is>
          <t>Contingency Rate</t>
        </is>
      </c>
      <c r="G5" s="33" t="n">
        <v>0</v>
      </c>
    </row>
    <row r="6">
      <c r="A6" s="2" t="inlineStr">
        <is>
          <t>Escalation Rate</t>
        </is>
      </c>
      <c r="G6" s="33" t="n">
        <v>0</v>
      </c>
    </row>
    <row r="7">
      <c r="A7" s="2" t="inlineStr">
        <is>
          <t>Overhead Rate  — requires executive approval to change</t>
        </is>
      </c>
      <c r="G7" s="34" t="n">
        <v>0.08</v>
      </c>
    </row>
    <row r="8">
      <c r="A8" s="2" t="inlineStr">
        <is>
          <t>Fee Rate (margin-based, Selling = Cost ÷ (1 − Fee%))  — requires executive approval to change</t>
        </is>
      </c>
      <c r="G8" s="34" t="n">
        <v>0.05</v>
      </c>
    </row>
    <row r="9">
      <c r="A9" s="2" t="inlineStr">
        <is>
          <t>Bond / Insurance Rate</t>
        </is>
      </c>
      <c r="G9" s="33" t="n">
        <v>0</v>
      </c>
    </row>
    <row r="11" ht="18" customHeight="1">
      <c r="A11" s="5" t="inlineStr">
        <is>
          <t>PER-SCOPE BID CHAIN  (Material/Freight/Labor auto-pulled from the Lines tab by Scope)</t>
        </is>
      </c>
    </row>
    <row r="12">
      <c r="A12" s="25" t="inlineStr">
        <is>
          <t>Scope</t>
        </is>
      </c>
      <c r="B12" s="25" t="inlineStr">
        <is>
          <t>CSI Code</t>
        </is>
      </c>
      <c r="C12" s="25" t="inlineStr">
        <is>
          <t>Active?</t>
        </is>
      </c>
      <c r="D12" s="25" t="inlineStr">
        <is>
          <t>Material</t>
        </is>
      </c>
      <c r="E12" s="25" t="inlineStr">
        <is>
          <t>Freight</t>
        </is>
      </c>
      <c r="F12" s="25" t="inlineStr">
        <is>
          <t>Labor</t>
        </is>
      </c>
      <c r="G12" s="25" t="inlineStr">
        <is>
          <t>Tax Rate %</t>
        </is>
      </c>
      <c r="H12" s="25" t="inlineStr">
        <is>
          <t>Tax $</t>
        </is>
      </c>
      <c r="I12" s="25" t="inlineStr">
        <is>
          <t>Category Subtotal</t>
        </is>
      </c>
      <c r="J12" s="25" t="inlineStr">
        <is>
          <t>Contingency Rate %</t>
        </is>
      </c>
      <c r="K12" s="25" t="inlineStr">
        <is>
          <t>Contingency $</t>
        </is>
      </c>
      <c r="L12" s="25" t="inlineStr">
        <is>
          <t>Escalation Rate %</t>
        </is>
      </c>
      <c r="M12" s="25" t="inlineStr">
        <is>
          <t>Escalation $</t>
        </is>
      </c>
      <c r="N12" s="25" t="inlineStr">
        <is>
          <t>Overhead Rate %</t>
        </is>
      </c>
      <c r="O12" s="25" t="inlineStr">
        <is>
          <t>Overhead $</t>
        </is>
      </c>
      <c r="P12" s="25" t="inlineStr">
        <is>
          <t>Sub Total 1</t>
        </is>
      </c>
      <c r="Q12" s="25" t="inlineStr">
        <is>
          <t>Fee Rate % (margin)</t>
        </is>
      </c>
      <c r="R12" s="25" t="inlineStr">
        <is>
          <t>Fee $</t>
        </is>
      </c>
      <c r="S12" s="25" t="inlineStr">
        <is>
          <t>Sub Total 2</t>
        </is>
      </c>
      <c r="T12" s="25" t="inlineStr">
        <is>
          <t>Bond/Ins Rate %</t>
        </is>
      </c>
      <c r="U12" s="25" t="inlineStr">
        <is>
          <t>Bond/Ins $</t>
        </is>
      </c>
      <c r="V12" s="25" t="inlineStr">
        <is>
          <t>Grand Total</t>
        </is>
      </c>
      <c r="W12" s="25" t="inlineStr">
        <is>
          <t>Adjustment $</t>
        </is>
      </c>
      <c r="X12" s="25" t="inlineStr">
        <is>
          <t>ADJUSTED GRAND TOTAL</t>
        </is>
      </c>
    </row>
    <row r="13">
      <c r="A13" s="10">
        <f>'Project Info'!B23</f>
        <v/>
      </c>
      <c r="B13" s="11">
        <f>'Project Info'!C23</f>
        <v/>
      </c>
      <c r="C13" s="11">
        <f>'Project Info'!A23</f>
        <v/>
      </c>
      <c r="D13" s="35">
        <f>SUMIFS(Lines!$L$4:$L$303,Lines!$A$4:$A$303,A13)</f>
        <v/>
      </c>
      <c r="E13" s="35">
        <f>SUMIFS(Lines!$M$4:$M$303,Lines!$A$4:$A$303,A13)</f>
        <v/>
      </c>
      <c r="F13" s="35">
        <f>SUMIFS(Lines!$N$4:$N$303,Lines!$A$4:$A$303,A13)</f>
        <v/>
      </c>
      <c r="G13" s="13">
        <f>$G$4</f>
        <v/>
      </c>
      <c r="H13" s="35">
        <f>(D13+E13)*G13</f>
        <v/>
      </c>
      <c r="I13" s="35">
        <f>D13+E13+F13+H13</f>
        <v/>
      </c>
      <c r="J13" s="13">
        <f>$G$5</f>
        <v/>
      </c>
      <c r="K13" s="35">
        <f>I13*J13</f>
        <v/>
      </c>
      <c r="L13" s="13">
        <f>$G$6</f>
        <v/>
      </c>
      <c r="M13" s="35">
        <f>D13*L13</f>
        <v/>
      </c>
      <c r="N13" s="13">
        <f>$G$7</f>
        <v/>
      </c>
      <c r="O13" s="35">
        <f>I13*N13</f>
        <v/>
      </c>
      <c r="P13" s="35">
        <f>I13+K13+M13+O13</f>
        <v/>
      </c>
      <c r="Q13" s="13">
        <f>$G$8</f>
        <v/>
      </c>
      <c r="R13" s="35">
        <f>IF(Q13&gt;=1,0,P13/(1-Q13)-P13)</f>
        <v/>
      </c>
      <c r="S13" s="35">
        <f>P13+R13</f>
        <v/>
      </c>
      <c r="T13" s="13">
        <f>$G$9</f>
        <v/>
      </c>
      <c r="U13" s="35">
        <f>S13*T13</f>
        <v/>
      </c>
      <c r="V13" s="36">
        <f>ROUND(S13+U13,0)</f>
        <v/>
      </c>
      <c r="W13" s="16" t="n">
        <v>0</v>
      </c>
      <c r="X13" s="37">
        <f>V13+W13</f>
        <v/>
      </c>
    </row>
    <row r="14">
      <c r="A14" s="10">
        <f>'Project Info'!B24</f>
        <v/>
      </c>
      <c r="B14" s="11">
        <f>'Project Info'!C24</f>
        <v/>
      </c>
      <c r="C14" s="11">
        <f>'Project Info'!A24</f>
        <v/>
      </c>
      <c r="D14" s="35">
        <f>SUMIFS(Lines!$L$4:$L$303,Lines!$A$4:$A$303,A14)</f>
        <v/>
      </c>
      <c r="E14" s="35">
        <f>SUMIFS(Lines!$M$4:$M$303,Lines!$A$4:$A$303,A14)</f>
        <v/>
      </c>
      <c r="F14" s="35">
        <f>SUMIFS(Lines!$N$4:$N$303,Lines!$A$4:$A$303,A14)</f>
        <v/>
      </c>
      <c r="G14" s="13">
        <f>$G$4</f>
        <v/>
      </c>
      <c r="H14" s="35">
        <f>(D14+E14)*G14</f>
        <v/>
      </c>
      <c r="I14" s="35">
        <f>D14+E14+F14+H14</f>
        <v/>
      </c>
      <c r="J14" s="13">
        <f>$G$5</f>
        <v/>
      </c>
      <c r="K14" s="35">
        <f>I14*J14</f>
        <v/>
      </c>
      <c r="L14" s="13">
        <f>$G$6</f>
        <v/>
      </c>
      <c r="M14" s="35">
        <f>D14*L14</f>
        <v/>
      </c>
      <c r="N14" s="13">
        <f>$G$7</f>
        <v/>
      </c>
      <c r="O14" s="35">
        <f>I14*N14</f>
        <v/>
      </c>
      <c r="P14" s="35">
        <f>I14+K14+M14+O14</f>
        <v/>
      </c>
      <c r="Q14" s="13">
        <f>$G$8</f>
        <v/>
      </c>
      <c r="R14" s="35">
        <f>IF(Q14&gt;=1,0,P14/(1-Q14)-P14)</f>
        <v/>
      </c>
      <c r="S14" s="35">
        <f>P14+R14</f>
        <v/>
      </c>
      <c r="T14" s="13">
        <f>$G$9</f>
        <v/>
      </c>
      <c r="U14" s="35">
        <f>S14*T14</f>
        <v/>
      </c>
      <c r="V14" s="36">
        <f>ROUND(S14+U14,0)</f>
        <v/>
      </c>
      <c r="W14" s="16" t="n">
        <v>0</v>
      </c>
      <c r="X14" s="37">
        <f>V14+W14</f>
        <v/>
      </c>
    </row>
    <row r="15">
      <c r="A15" s="10">
        <f>'Project Info'!B25</f>
        <v/>
      </c>
      <c r="B15" s="11">
        <f>'Project Info'!C25</f>
        <v/>
      </c>
      <c r="C15" s="11">
        <f>'Project Info'!A25</f>
        <v/>
      </c>
      <c r="D15" s="35">
        <f>SUMIFS(Lines!$L$4:$L$303,Lines!$A$4:$A$303,A15)</f>
        <v/>
      </c>
      <c r="E15" s="35">
        <f>SUMIFS(Lines!$M$4:$M$303,Lines!$A$4:$A$303,A15)</f>
        <v/>
      </c>
      <c r="F15" s="35">
        <f>SUMIFS(Lines!$N$4:$N$303,Lines!$A$4:$A$303,A15)</f>
        <v/>
      </c>
      <c r="G15" s="13">
        <f>$G$4</f>
        <v/>
      </c>
      <c r="H15" s="35">
        <f>(D15+E15)*G15</f>
        <v/>
      </c>
      <c r="I15" s="35">
        <f>D15+E15+F15+H15</f>
        <v/>
      </c>
      <c r="J15" s="13">
        <f>$G$5</f>
        <v/>
      </c>
      <c r="K15" s="35">
        <f>I15*J15</f>
        <v/>
      </c>
      <c r="L15" s="13">
        <f>$G$6</f>
        <v/>
      </c>
      <c r="M15" s="35">
        <f>D15*L15</f>
        <v/>
      </c>
      <c r="N15" s="13">
        <f>$G$7</f>
        <v/>
      </c>
      <c r="O15" s="35">
        <f>I15*N15</f>
        <v/>
      </c>
      <c r="P15" s="35">
        <f>I15+K15+M15+O15</f>
        <v/>
      </c>
      <c r="Q15" s="13">
        <f>$G$8</f>
        <v/>
      </c>
      <c r="R15" s="35">
        <f>IF(Q15&gt;=1,0,P15/(1-Q15)-P15)</f>
        <v/>
      </c>
      <c r="S15" s="35">
        <f>P15+R15</f>
        <v/>
      </c>
      <c r="T15" s="13">
        <f>$G$9</f>
        <v/>
      </c>
      <c r="U15" s="35">
        <f>S15*T15</f>
        <v/>
      </c>
      <c r="V15" s="36">
        <f>ROUND(S15+U15,0)</f>
        <v/>
      </c>
      <c r="W15" s="16" t="n">
        <v>0</v>
      </c>
      <c r="X15" s="37">
        <f>V15+W15</f>
        <v/>
      </c>
    </row>
    <row r="16">
      <c r="A16" s="10">
        <f>'Project Info'!B26</f>
        <v/>
      </c>
      <c r="B16" s="11">
        <f>'Project Info'!C26</f>
        <v/>
      </c>
      <c r="C16" s="11">
        <f>'Project Info'!A26</f>
        <v/>
      </c>
      <c r="D16" s="35">
        <f>SUMIFS(Lines!$L$4:$L$303,Lines!$A$4:$A$303,A16)</f>
        <v/>
      </c>
      <c r="E16" s="35">
        <f>SUMIFS(Lines!$M$4:$M$303,Lines!$A$4:$A$303,A16)</f>
        <v/>
      </c>
      <c r="F16" s="35">
        <f>SUMIFS(Lines!$N$4:$N$303,Lines!$A$4:$A$303,A16)</f>
        <v/>
      </c>
      <c r="G16" s="13">
        <f>$G$4</f>
        <v/>
      </c>
      <c r="H16" s="35">
        <f>(D16+E16)*G16</f>
        <v/>
      </c>
      <c r="I16" s="35">
        <f>D16+E16+F16+H16</f>
        <v/>
      </c>
      <c r="J16" s="13">
        <f>$G$5</f>
        <v/>
      </c>
      <c r="K16" s="35">
        <f>I16*J16</f>
        <v/>
      </c>
      <c r="L16" s="13">
        <f>$G$6</f>
        <v/>
      </c>
      <c r="M16" s="35">
        <f>D16*L16</f>
        <v/>
      </c>
      <c r="N16" s="13">
        <f>$G$7</f>
        <v/>
      </c>
      <c r="O16" s="35">
        <f>I16*N16</f>
        <v/>
      </c>
      <c r="P16" s="35">
        <f>I16+K16+M16+O16</f>
        <v/>
      </c>
      <c r="Q16" s="13">
        <f>$G$8</f>
        <v/>
      </c>
      <c r="R16" s="35">
        <f>IF(Q16&gt;=1,0,P16/(1-Q16)-P16)</f>
        <v/>
      </c>
      <c r="S16" s="35">
        <f>P16+R16</f>
        <v/>
      </c>
      <c r="T16" s="13">
        <f>$G$9</f>
        <v/>
      </c>
      <c r="U16" s="35">
        <f>S16*T16</f>
        <v/>
      </c>
      <c r="V16" s="36">
        <f>ROUND(S16+U16,0)</f>
        <v/>
      </c>
      <c r="W16" s="16" t="n">
        <v>0</v>
      </c>
      <c r="X16" s="37">
        <f>V16+W16</f>
        <v/>
      </c>
    </row>
    <row r="17">
      <c r="A17" s="10">
        <f>'Project Info'!B27</f>
        <v/>
      </c>
      <c r="B17" s="11">
        <f>'Project Info'!C27</f>
        <v/>
      </c>
      <c r="C17" s="11">
        <f>'Project Info'!A27</f>
        <v/>
      </c>
      <c r="D17" s="35">
        <f>SUMIFS(Lines!$L$4:$L$303,Lines!$A$4:$A$303,A17)</f>
        <v/>
      </c>
      <c r="E17" s="35">
        <f>SUMIFS(Lines!$M$4:$M$303,Lines!$A$4:$A$303,A17)</f>
        <v/>
      </c>
      <c r="F17" s="35">
        <f>SUMIFS(Lines!$N$4:$N$303,Lines!$A$4:$A$303,A17)</f>
        <v/>
      </c>
      <c r="G17" s="13">
        <f>$G$4</f>
        <v/>
      </c>
      <c r="H17" s="35">
        <f>(D17+E17)*G17</f>
        <v/>
      </c>
      <c r="I17" s="35">
        <f>D17+E17+F17+H17</f>
        <v/>
      </c>
      <c r="J17" s="13">
        <f>$G$5</f>
        <v/>
      </c>
      <c r="K17" s="35">
        <f>I17*J17</f>
        <v/>
      </c>
      <c r="L17" s="13">
        <f>$G$6</f>
        <v/>
      </c>
      <c r="M17" s="35">
        <f>D17*L17</f>
        <v/>
      </c>
      <c r="N17" s="13">
        <f>$G$7</f>
        <v/>
      </c>
      <c r="O17" s="35">
        <f>I17*N17</f>
        <v/>
      </c>
      <c r="P17" s="35">
        <f>I17+K17+M17+O17</f>
        <v/>
      </c>
      <c r="Q17" s="13">
        <f>$G$8</f>
        <v/>
      </c>
      <c r="R17" s="35">
        <f>IF(Q17&gt;=1,0,P17/(1-Q17)-P17)</f>
        <v/>
      </c>
      <c r="S17" s="35">
        <f>P17+R17</f>
        <v/>
      </c>
      <c r="T17" s="13">
        <f>$G$9</f>
        <v/>
      </c>
      <c r="U17" s="35">
        <f>S17*T17</f>
        <v/>
      </c>
      <c r="V17" s="36">
        <f>ROUND(S17+U17,0)</f>
        <v/>
      </c>
      <c r="W17" s="16" t="n">
        <v>0</v>
      </c>
      <c r="X17" s="37">
        <f>V17+W17</f>
        <v/>
      </c>
    </row>
    <row r="18">
      <c r="A18" s="10">
        <f>'Project Info'!B28</f>
        <v/>
      </c>
      <c r="B18" s="11">
        <f>'Project Info'!C28</f>
        <v/>
      </c>
      <c r="C18" s="11">
        <f>'Project Info'!A28</f>
        <v/>
      </c>
      <c r="D18" s="35">
        <f>SUMIFS(Lines!$L$4:$L$303,Lines!$A$4:$A$303,A18)</f>
        <v/>
      </c>
      <c r="E18" s="35">
        <f>SUMIFS(Lines!$M$4:$M$303,Lines!$A$4:$A$303,A18)</f>
        <v/>
      </c>
      <c r="F18" s="35">
        <f>SUMIFS(Lines!$N$4:$N$303,Lines!$A$4:$A$303,A18)</f>
        <v/>
      </c>
      <c r="G18" s="13">
        <f>$G$4</f>
        <v/>
      </c>
      <c r="H18" s="35">
        <f>(D18+E18)*G18</f>
        <v/>
      </c>
      <c r="I18" s="35">
        <f>D18+E18+F18+H18</f>
        <v/>
      </c>
      <c r="J18" s="13">
        <f>$G$5</f>
        <v/>
      </c>
      <c r="K18" s="35">
        <f>I18*J18</f>
        <v/>
      </c>
      <c r="L18" s="13">
        <f>$G$6</f>
        <v/>
      </c>
      <c r="M18" s="35">
        <f>D18*L18</f>
        <v/>
      </c>
      <c r="N18" s="13">
        <f>$G$7</f>
        <v/>
      </c>
      <c r="O18" s="35">
        <f>I18*N18</f>
        <v/>
      </c>
      <c r="P18" s="35">
        <f>I18+K18+M18+O18</f>
        <v/>
      </c>
      <c r="Q18" s="13">
        <f>$G$8</f>
        <v/>
      </c>
      <c r="R18" s="35">
        <f>IF(Q18&gt;=1,0,P18/(1-Q18)-P18)</f>
        <v/>
      </c>
      <c r="S18" s="35">
        <f>P18+R18</f>
        <v/>
      </c>
      <c r="T18" s="13">
        <f>$G$9</f>
        <v/>
      </c>
      <c r="U18" s="35">
        <f>S18*T18</f>
        <v/>
      </c>
      <c r="V18" s="36">
        <f>ROUND(S18+U18,0)</f>
        <v/>
      </c>
      <c r="W18" s="16" t="n">
        <v>0</v>
      </c>
      <c r="X18" s="37">
        <f>V18+W18</f>
        <v/>
      </c>
    </row>
    <row r="19">
      <c r="A19" s="10">
        <f>'Project Info'!B29</f>
        <v/>
      </c>
      <c r="B19" s="11">
        <f>'Project Info'!C29</f>
        <v/>
      </c>
      <c r="C19" s="11">
        <f>'Project Info'!A29</f>
        <v/>
      </c>
      <c r="D19" s="35">
        <f>SUMIFS(Lines!$L$4:$L$303,Lines!$A$4:$A$303,A19)</f>
        <v/>
      </c>
      <c r="E19" s="35">
        <f>SUMIFS(Lines!$M$4:$M$303,Lines!$A$4:$A$303,A19)</f>
        <v/>
      </c>
      <c r="F19" s="35">
        <f>SUMIFS(Lines!$N$4:$N$303,Lines!$A$4:$A$303,A19)</f>
        <v/>
      </c>
      <c r="G19" s="13">
        <f>$G$4</f>
        <v/>
      </c>
      <c r="H19" s="35">
        <f>(D19+E19)*G19</f>
        <v/>
      </c>
      <c r="I19" s="35">
        <f>D19+E19+F19+H19</f>
        <v/>
      </c>
      <c r="J19" s="13">
        <f>$G$5</f>
        <v/>
      </c>
      <c r="K19" s="35">
        <f>I19*J19</f>
        <v/>
      </c>
      <c r="L19" s="13">
        <f>$G$6</f>
        <v/>
      </c>
      <c r="M19" s="35">
        <f>D19*L19</f>
        <v/>
      </c>
      <c r="N19" s="13">
        <f>$G$7</f>
        <v/>
      </c>
      <c r="O19" s="35">
        <f>I19*N19</f>
        <v/>
      </c>
      <c r="P19" s="35">
        <f>I19+K19+M19+O19</f>
        <v/>
      </c>
      <c r="Q19" s="13">
        <f>$G$8</f>
        <v/>
      </c>
      <c r="R19" s="35">
        <f>IF(Q19&gt;=1,0,P19/(1-Q19)-P19)</f>
        <v/>
      </c>
      <c r="S19" s="35">
        <f>P19+R19</f>
        <v/>
      </c>
      <c r="T19" s="13">
        <f>$G$9</f>
        <v/>
      </c>
      <c r="U19" s="35">
        <f>S19*T19</f>
        <v/>
      </c>
      <c r="V19" s="36">
        <f>ROUND(S19+U19,0)</f>
        <v/>
      </c>
      <c r="W19" s="16" t="n">
        <v>0</v>
      </c>
      <c r="X19" s="37">
        <f>V19+W19</f>
        <v/>
      </c>
    </row>
    <row r="20">
      <c r="A20" s="10">
        <f>'Project Info'!B30</f>
        <v/>
      </c>
      <c r="B20" s="11">
        <f>'Project Info'!C30</f>
        <v/>
      </c>
      <c r="C20" s="11">
        <f>'Project Info'!A30</f>
        <v/>
      </c>
      <c r="D20" s="35">
        <f>SUMIFS(Lines!$L$4:$L$303,Lines!$A$4:$A$303,A20)</f>
        <v/>
      </c>
      <c r="E20" s="35">
        <f>SUMIFS(Lines!$M$4:$M$303,Lines!$A$4:$A$303,A20)</f>
        <v/>
      </c>
      <c r="F20" s="35">
        <f>SUMIFS(Lines!$N$4:$N$303,Lines!$A$4:$A$303,A20)</f>
        <v/>
      </c>
      <c r="G20" s="13">
        <f>$G$4</f>
        <v/>
      </c>
      <c r="H20" s="35">
        <f>(D20+E20)*G20</f>
        <v/>
      </c>
      <c r="I20" s="35">
        <f>D20+E20+F20+H20</f>
        <v/>
      </c>
      <c r="J20" s="13">
        <f>$G$5</f>
        <v/>
      </c>
      <c r="K20" s="35">
        <f>I20*J20</f>
        <v/>
      </c>
      <c r="L20" s="13">
        <f>$G$6</f>
        <v/>
      </c>
      <c r="M20" s="35">
        <f>D20*L20</f>
        <v/>
      </c>
      <c r="N20" s="13">
        <f>$G$7</f>
        <v/>
      </c>
      <c r="O20" s="35">
        <f>I20*N20</f>
        <v/>
      </c>
      <c r="P20" s="35">
        <f>I20+K20+M20+O20</f>
        <v/>
      </c>
      <c r="Q20" s="13">
        <f>$G$8</f>
        <v/>
      </c>
      <c r="R20" s="35">
        <f>IF(Q20&gt;=1,0,P20/(1-Q20)-P20)</f>
        <v/>
      </c>
      <c r="S20" s="35">
        <f>P20+R20</f>
        <v/>
      </c>
      <c r="T20" s="13">
        <f>$G$9</f>
        <v/>
      </c>
      <c r="U20" s="35">
        <f>S20*T20</f>
        <v/>
      </c>
      <c r="V20" s="36">
        <f>ROUND(S20+U20,0)</f>
        <v/>
      </c>
      <c r="W20" s="16" t="n">
        <v>0</v>
      </c>
      <c r="X20" s="37">
        <f>V20+W20</f>
        <v/>
      </c>
    </row>
    <row r="21">
      <c r="A21" s="10">
        <f>'Project Info'!B31</f>
        <v/>
      </c>
      <c r="B21" s="11">
        <f>'Project Info'!C31</f>
        <v/>
      </c>
      <c r="C21" s="11">
        <f>'Project Info'!A31</f>
        <v/>
      </c>
      <c r="D21" s="35">
        <f>SUMIFS(Lines!$L$4:$L$303,Lines!$A$4:$A$303,A21)</f>
        <v/>
      </c>
      <c r="E21" s="35">
        <f>SUMIFS(Lines!$M$4:$M$303,Lines!$A$4:$A$303,A21)</f>
        <v/>
      </c>
      <c r="F21" s="35">
        <f>SUMIFS(Lines!$N$4:$N$303,Lines!$A$4:$A$303,A21)</f>
        <v/>
      </c>
      <c r="G21" s="13">
        <f>$G$4</f>
        <v/>
      </c>
      <c r="H21" s="35">
        <f>(D21+E21)*G21</f>
        <v/>
      </c>
      <c r="I21" s="35">
        <f>D21+E21+F21+H21</f>
        <v/>
      </c>
      <c r="J21" s="13">
        <f>$G$5</f>
        <v/>
      </c>
      <c r="K21" s="35">
        <f>I21*J21</f>
        <v/>
      </c>
      <c r="L21" s="13">
        <f>$G$6</f>
        <v/>
      </c>
      <c r="M21" s="35">
        <f>D21*L21</f>
        <v/>
      </c>
      <c r="N21" s="13">
        <f>$G$7</f>
        <v/>
      </c>
      <c r="O21" s="35">
        <f>I21*N21</f>
        <v/>
      </c>
      <c r="P21" s="35">
        <f>I21+K21+M21+O21</f>
        <v/>
      </c>
      <c r="Q21" s="13">
        <f>$G$8</f>
        <v/>
      </c>
      <c r="R21" s="35">
        <f>IF(Q21&gt;=1,0,P21/(1-Q21)-P21)</f>
        <v/>
      </c>
      <c r="S21" s="35">
        <f>P21+R21</f>
        <v/>
      </c>
      <c r="T21" s="13">
        <f>$G$9</f>
        <v/>
      </c>
      <c r="U21" s="35">
        <f>S21*T21</f>
        <v/>
      </c>
      <c r="V21" s="36">
        <f>ROUND(S21+U21,0)</f>
        <v/>
      </c>
      <c r="W21" s="16" t="n">
        <v>0</v>
      </c>
      <c r="X21" s="37">
        <f>V21+W21</f>
        <v/>
      </c>
    </row>
    <row r="22">
      <c r="A22" s="10">
        <f>'Project Info'!B32</f>
        <v/>
      </c>
      <c r="B22" s="11">
        <f>'Project Info'!C32</f>
        <v/>
      </c>
      <c r="C22" s="11">
        <f>'Project Info'!A32</f>
        <v/>
      </c>
      <c r="D22" s="35">
        <f>SUMIFS(Lines!$L$4:$L$303,Lines!$A$4:$A$303,A22)</f>
        <v/>
      </c>
      <c r="E22" s="35">
        <f>SUMIFS(Lines!$M$4:$M$303,Lines!$A$4:$A$303,A22)</f>
        <v/>
      </c>
      <c r="F22" s="35">
        <f>SUMIFS(Lines!$N$4:$N$303,Lines!$A$4:$A$303,A22)</f>
        <v/>
      </c>
      <c r="G22" s="13">
        <f>$G$4</f>
        <v/>
      </c>
      <c r="H22" s="35">
        <f>(D22+E22)*G22</f>
        <v/>
      </c>
      <c r="I22" s="35">
        <f>D22+E22+F22+H22</f>
        <v/>
      </c>
      <c r="J22" s="13">
        <f>$G$5</f>
        <v/>
      </c>
      <c r="K22" s="35">
        <f>I22*J22</f>
        <v/>
      </c>
      <c r="L22" s="13">
        <f>$G$6</f>
        <v/>
      </c>
      <c r="M22" s="35">
        <f>D22*L22</f>
        <v/>
      </c>
      <c r="N22" s="13">
        <f>$G$7</f>
        <v/>
      </c>
      <c r="O22" s="35">
        <f>I22*N22</f>
        <v/>
      </c>
      <c r="P22" s="35">
        <f>I22+K22+M22+O22</f>
        <v/>
      </c>
      <c r="Q22" s="13">
        <f>$G$8</f>
        <v/>
      </c>
      <c r="R22" s="35">
        <f>IF(Q22&gt;=1,0,P22/(1-Q22)-P22)</f>
        <v/>
      </c>
      <c r="S22" s="35">
        <f>P22+R22</f>
        <v/>
      </c>
      <c r="T22" s="13">
        <f>$G$9</f>
        <v/>
      </c>
      <c r="U22" s="35">
        <f>S22*T22</f>
        <v/>
      </c>
      <c r="V22" s="36">
        <f>ROUND(S22+U22,0)</f>
        <v/>
      </c>
      <c r="W22" s="16" t="n">
        <v>0</v>
      </c>
      <c r="X22" s="37">
        <f>V22+W22</f>
        <v/>
      </c>
    </row>
    <row r="23">
      <c r="A23" s="10">
        <f>'Project Info'!B33</f>
        <v/>
      </c>
      <c r="B23" s="11">
        <f>'Project Info'!C33</f>
        <v/>
      </c>
      <c r="C23" s="11">
        <f>'Project Info'!A33</f>
        <v/>
      </c>
      <c r="D23" s="35">
        <f>SUMIFS(Lines!$L$4:$L$303,Lines!$A$4:$A$303,A23)</f>
        <v/>
      </c>
      <c r="E23" s="35">
        <f>SUMIFS(Lines!$M$4:$M$303,Lines!$A$4:$A$303,A23)</f>
        <v/>
      </c>
      <c r="F23" s="35">
        <f>SUMIFS(Lines!$N$4:$N$303,Lines!$A$4:$A$303,A23)</f>
        <v/>
      </c>
      <c r="G23" s="13">
        <f>$G$4</f>
        <v/>
      </c>
      <c r="H23" s="35">
        <f>(D23+E23)*G23</f>
        <v/>
      </c>
      <c r="I23" s="35">
        <f>D23+E23+F23+H23</f>
        <v/>
      </c>
      <c r="J23" s="13">
        <f>$G$5</f>
        <v/>
      </c>
      <c r="K23" s="35">
        <f>I23*J23</f>
        <v/>
      </c>
      <c r="L23" s="13">
        <f>$G$6</f>
        <v/>
      </c>
      <c r="M23" s="35">
        <f>D23*L23</f>
        <v/>
      </c>
      <c r="N23" s="13">
        <f>$G$7</f>
        <v/>
      </c>
      <c r="O23" s="35">
        <f>I23*N23</f>
        <v/>
      </c>
      <c r="P23" s="35">
        <f>I23+K23+M23+O23</f>
        <v/>
      </c>
      <c r="Q23" s="13">
        <f>$G$8</f>
        <v/>
      </c>
      <c r="R23" s="35">
        <f>IF(Q23&gt;=1,0,P23/(1-Q23)-P23)</f>
        <v/>
      </c>
      <c r="S23" s="35">
        <f>P23+R23</f>
        <v/>
      </c>
      <c r="T23" s="13">
        <f>$G$9</f>
        <v/>
      </c>
      <c r="U23" s="35">
        <f>S23*T23</f>
        <v/>
      </c>
      <c r="V23" s="36">
        <f>ROUND(S23+U23,0)</f>
        <v/>
      </c>
      <c r="W23" s="16" t="n">
        <v>0</v>
      </c>
      <c r="X23" s="37">
        <f>V23+W23</f>
        <v/>
      </c>
    </row>
    <row r="24">
      <c r="A24" s="10">
        <f>'Project Info'!B34</f>
        <v/>
      </c>
      <c r="B24" s="11">
        <f>'Project Info'!C34</f>
        <v/>
      </c>
      <c r="C24" s="11">
        <f>'Project Info'!A34</f>
        <v/>
      </c>
      <c r="D24" s="35">
        <f>SUMIFS(Lines!$L$4:$L$303,Lines!$A$4:$A$303,A24)</f>
        <v/>
      </c>
      <c r="E24" s="35">
        <f>SUMIFS(Lines!$M$4:$M$303,Lines!$A$4:$A$303,A24)</f>
        <v/>
      </c>
      <c r="F24" s="35">
        <f>SUMIFS(Lines!$N$4:$N$303,Lines!$A$4:$A$303,A24)</f>
        <v/>
      </c>
      <c r="G24" s="13">
        <f>$G$4</f>
        <v/>
      </c>
      <c r="H24" s="35">
        <f>(D24+E24)*G24</f>
        <v/>
      </c>
      <c r="I24" s="35">
        <f>D24+E24+F24+H24</f>
        <v/>
      </c>
      <c r="J24" s="13">
        <f>$G$5</f>
        <v/>
      </c>
      <c r="K24" s="35">
        <f>I24*J24</f>
        <v/>
      </c>
      <c r="L24" s="13">
        <f>$G$6</f>
        <v/>
      </c>
      <c r="M24" s="35">
        <f>D24*L24</f>
        <v/>
      </c>
      <c r="N24" s="13">
        <f>$G$7</f>
        <v/>
      </c>
      <c r="O24" s="35">
        <f>I24*N24</f>
        <v/>
      </c>
      <c r="P24" s="35">
        <f>I24+K24+M24+O24</f>
        <v/>
      </c>
      <c r="Q24" s="13">
        <f>$G$8</f>
        <v/>
      </c>
      <c r="R24" s="35">
        <f>IF(Q24&gt;=1,0,P24/(1-Q24)-P24)</f>
        <v/>
      </c>
      <c r="S24" s="35">
        <f>P24+R24</f>
        <v/>
      </c>
      <c r="T24" s="13">
        <f>$G$9</f>
        <v/>
      </c>
      <c r="U24" s="35">
        <f>S24*T24</f>
        <v/>
      </c>
      <c r="V24" s="36">
        <f>ROUND(S24+U24,0)</f>
        <v/>
      </c>
      <c r="W24" s="16" t="n">
        <v>0</v>
      </c>
      <c r="X24" s="37">
        <f>V24+W24</f>
        <v/>
      </c>
    </row>
    <row r="25">
      <c r="A25" s="10">
        <f>'Project Info'!B35</f>
        <v/>
      </c>
      <c r="B25" s="11">
        <f>'Project Info'!C35</f>
        <v/>
      </c>
      <c r="C25" s="11">
        <f>'Project Info'!A35</f>
        <v/>
      </c>
      <c r="D25" s="35">
        <f>SUMIFS(Lines!$L$4:$L$303,Lines!$A$4:$A$303,A25)</f>
        <v/>
      </c>
      <c r="E25" s="35">
        <f>SUMIFS(Lines!$M$4:$M$303,Lines!$A$4:$A$303,A25)</f>
        <v/>
      </c>
      <c r="F25" s="35">
        <f>SUMIFS(Lines!$N$4:$N$303,Lines!$A$4:$A$303,A25)</f>
        <v/>
      </c>
      <c r="G25" s="13">
        <f>$G$4</f>
        <v/>
      </c>
      <c r="H25" s="35">
        <f>(D25+E25)*G25</f>
        <v/>
      </c>
      <c r="I25" s="35">
        <f>D25+E25+F25+H25</f>
        <v/>
      </c>
      <c r="J25" s="13">
        <f>$G$5</f>
        <v/>
      </c>
      <c r="K25" s="35">
        <f>I25*J25</f>
        <v/>
      </c>
      <c r="L25" s="13">
        <f>$G$6</f>
        <v/>
      </c>
      <c r="M25" s="35">
        <f>D25*L25</f>
        <v/>
      </c>
      <c r="N25" s="13">
        <f>$G$7</f>
        <v/>
      </c>
      <c r="O25" s="35">
        <f>I25*N25</f>
        <v/>
      </c>
      <c r="P25" s="35">
        <f>I25+K25+M25+O25</f>
        <v/>
      </c>
      <c r="Q25" s="13">
        <f>$G$8</f>
        <v/>
      </c>
      <c r="R25" s="35">
        <f>IF(Q25&gt;=1,0,P25/(1-Q25)-P25)</f>
        <v/>
      </c>
      <c r="S25" s="35">
        <f>P25+R25</f>
        <v/>
      </c>
      <c r="T25" s="13">
        <f>$G$9</f>
        <v/>
      </c>
      <c r="U25" s="35">
        <f>S25*T25</f>
        <v/>
      </c>
      <c r="V25" s="36">
        <f>ROUND(S25+U25,0)</f>
        <v/>
      </c>
      <c r="W25" s="16" t="n">
        <v>0</v>
      </c>
      <c r="X25" s="37">
        <f>V25+W25</f>
        <v/>
      </c>
    </row>
    <row r="26">
      <c r="A26" s="10">
        <f>'Project Info'!B36</f>
        <v/>
      </c>
      <c r="B26" s="11">
        <f>'Project Info'!C36</f>
        <v/>
      </c>
      <c r="C26" s="11">
        <f>'Project Info'!A36</f>
        <v/>
      </c>
      <c r="D26" s="35">
        <f>SUMIFS(Lines!$L$4:$L$303,Lines!$A$4:$A$303,A26)</f>
        <v/>
      </c>
      <c r="E26" s="35">
        <f>SUMIFS(Lines!$M$4:$M$303,Lines!$A$4:$A$303,A26)</f>
        <v/>
      </c>
      <c r="F26" s="35">
        <f>SUMIFS(Lines!$N$4:$N$303,Lines!$A$4:$A$303,A26)</f>
        <v/>
      </c>
      <c r="G26" s="13">
        <f>$G$4</f>
        <v/>
      </c>
      <c r="H26" s="35">
        <f>(D26+E26)*G26</f>
        <v/>
      </c>
      <c r="I26" s="35">
        <f>D26+E26+F26+H26</f>
        <v/>
      </c>
      <c r="J26" s="13">
        <f>$G$5</f>
        <v/>
      </c>
      <c r="K26" s="35">
        <f>I26*J26</f>
        <v/>
      </c>
      <c r="L26" s="13">
        <f>$G$6</f>
        <v/>
      </c>
      <c r="M26" s="35">
        <f>D26*L26</f>
        <v/>
      </c>
      <c r="N26" s="13">
        <f>$G$7</f>
        <v/>
      </c>
      <c r="O26" s="35">
        <f>I26*N26</f>
        <v/>
      </c>
      <c r="P26" s="35">
        <f>I26+K26+M26+O26</f>
        <v/>
      </c>
      <c r="Q26" s="13">
        <f>$G$8</f>
        <v/>
      </c>
      <c r="R26" s="35">
        <f>IF(Q26&gt;=1,0,P26/(1-Q26)-P26)</f>
        <v/>
      </c>
      <c r="S26" s="35">
        <f>P26+R26</f>
        <v/>
      </c>
      <c r="T26" s="13">
        <f>$G$9</f>
        <v/>
      </c>
      <c r="U26" s="35">
        <f>S26*T26</f>
        <v/>
      </c>
      <c r="V26" s="36">
        <f>ROUND(S26+U26,0)</f>
        <v/>
      </c>
      <c r="W26" s="16" t="n">
        <v>0</v>
      </c>
      <c r="X26" s="37">
        <f>V26+W26</f>
        <v/>
      </c>
    </row>
    <row r="27">
      <c r="A27" s="10">
        <f>'Project Info'!B37</f>
        <v/>
      </c>
      <c r="B27" s="11">
        <f>'Project Info'!C37</f>
        <v/>
      </c>
      <c r="C27" s="11">
        <f>'Project Info'!A37</f>
        <v/>
      </c>
      <c r="D27" s="35">
        <f>SUMIFS(Lines!$L$4:$L$303,Lines!$A$4:$A$303,A27)</f>
        <v/>
      </c>
      <c r="E27" s="35">
        <f>SUMIFS(Lines!$M$4:$M$303,Lines!$A$4:$A$303,A27)</f>
        <v/>
      </c>
      <c r="F27" s="35">
        <f>SUMIFS(Lines!$N$4:$N$303,Lines!$A$4:$A$303,A27)</f>
        <v/>
      </c>
      <c r="G27" s="13">
        <f>$G$4</f>
        <v/>
      </c>
      <c r="H27" s="35">
        <f>(D27+E27)*G27</f>
        <v/>
      </c>
      <c r="I27" s="35">
        <f>D27+E27+F27+H27</f>
        <v/>
      </c>
      <c r="J27" s="13">
        <f>$G$5</f>
        <v/>
      </c>
      <c r="K27" s="35">
        <f>I27*J27</f>
        <v/>
      </c>
      <c r="L27" s="13">
        <f>$G$6</f>
        <v/>
      </c>
      <c r="M27" s="35">
        <f>D27*L27</f>
        <v/>
      </c>
      <c r="N27" s="13">
        <f>$G$7</f>
        <v/>
      </c>
      <c r="O27" s="35">
        <f>I27*N27</f>
        <v/>
      </c>
      <c r="P27" s="35">
        <f>I27+K27+M27+O27</f>
        <v/>
      </c>
      <c r="Q27" s="13">
        <f>$G$8</f>
        <v/>
      </c>
      <c r="R27" s="35">
        <f>IF(Q27&gt;=1,0,P27/(1-Q27)-P27)</f>
        <v/>
      </c>
      <c r="S27" s="35">
        <f>P27+R27</f>
        <v/>
      </c>
      <c r="T27" s="13">
        <f>$G$9</f>
        <v/>
      </c>
      <c r="U27" s="35">
        <f>S27*T27</f>
        <v/>
      </c>
      <c r="V27" s="36">
        <f>ROUND(S27+U27,0)</f>
        <v/>
      </c>
      <c r="W27" s="16" t="n">
        <v>0</v>
      </c>
      <c r="X27" s="37">
        <f>V27+W27</f>
        <v/>
      </c>
    </row>
    <row r="28">
      <c r="A28" s="10">
        <f>'Project Info'!B38</f>
        <v/>
      </c>
      <c r="B28" s="11">
        <f>'Project Info'!C38</f>
        <v/>
      </c>
      <c r="C28" s="11">
        <f>'Project Info'!A38</f>
        <v/>
      </c>
      <c r="D28" s="35">
        <f>SUMIFS(Lines!$L$4:$L$303,Lines!$A$4:$A$303,A28)</f>
        <v/>
      </c>
      <c r="E28" s="35">
        <f>SUMIFS(Lines!$M$4:$M$303,Lines!$A$4:$A$303,A28)</f>
        <v/>
      </c>
      <c r="F28" s="35">
        <f>SUMIFS(Lines!$N$4:$N$303,Lines!$A$4:$A$303,A28)</f>
        <v/>
      </c>
      <c r="G28" s="13">
        <f>$G$4</f>
        <v/>
      </c>
      <c r="H28" s="35">
        <f>(D28+E28)*G28</f>
        <v/>
      </c>
      <c r="I28" s="35">
        <f>D28+E28+F28+H28</f>
        <v/>
      </c>
      <c r="J28" s="13">
        <f>$G$5</f>
        <v/>
      </c>
      <c r="K28" s="35">
        <f>I28*J28</f>
        <v/>
      </c>
      <c r="L28" s="13">
        <f>$G$6</f>
        <v/>
      </c>
      <c r="M28" s="35">
        <f>D28*L28</f>
        <v/>
      </c>
      <c r="N28" s="13">
        <f>$G$7</f>
        <v/>
      </c>
      <c r="O28" s="35">
        <f>I28*N28</f>
        <v/>
      </c>
      <c r="P28" s="35">
        <f>I28+K28+M28+O28</f>
        <v/>
      </c>
      <c r="Q28" s="13">
        <f>$G$8</f>
        <v/>
      </c>
      <c r="R28" s="35">
        <f>IF(Q28&gt;=1,0,P28/(1-Q28)-P28)</f>
        <v/>
      </c>
      <c r="S28" s="35">
        <f>P28+R28</f>
        <v/>
      </c>
      <c r="T28" s="13">
        <f>$G$9</f>
        <v/>
      </c>
      <c r="U28" s="35">
        <f>S28*T28</f>
        <v/>
      </c>
      <c r="V28" s="36">
        <f>ROUND(S28+U28,0)</f>
        <v/>
      </c>
      <c r="W28" s="16" t="n">
        <v>0</v>
      </c>
      <c r="X28" s="37">
        <f>V28+W28</f>
        <v/>
      </c>
    </row>
    <row r="29">
      <c r="A29" s="10">
        <f>'Project Info'!B39</f>
        <v/>
      </c>
      <c r="B29" s="11">
        <f>'Project Info'!C39</f>
        <v/>
      </c>
      <c r="C29" s="11">
        <f>'Project Info'!A39</f>
        <v/>
      </c>
      <c r="D29" s="35">
        <f>SUMIFS(Lines!$L$4:$L$303,Lines!$A$4:$A$303,A29)</f>
        <v/>
      </c>
      <c r="E29" s="35">
        <f>SUMIFS(Lines!$M$4:$M$303,Lines!$A$4:$A$303,A29)</f>
        <v/>
      </c>
      <c r="F29" s="35">
        <f>SUMIFS(Lines!$N$4:$N$303,Lines!$A$4:$A$303,A29)</f>
        <v/>
      </c>
      <c r="G29" s="13">
        <f>$G$4</f>
        <v/>
      </c>
      <c r="H29" s="35">
        <f>(D29+E29)*G29</f>
        <v/>
      </c>
      <c r="I29" s="35">
        <f>D29+E29+F29+H29</f>
        <v/>
      </c>
      <c r="J29" s="13">
        <f>$G$5</f>
        <v/>
      </c>
      <c r="K29" s="35">
        <f>I29*J29</f>
        <v/>
      </c>
      <c r="L29" s="13">
        <f>$G$6</f>
        <v/>
      </c>
      <c r="M29" s="35">
        <f>D29*L29</f>
        <v/>
      </c>
      <c r="N29" s="13">
        <f>$G$7</f>
        <v/>
      </c>
      <c r="O29" s="35">
        <f>I29*N29</f>
        <v/>
      </c>
      <c r="P29" s="35">
        <f>I29+K29+M29+O29</f>
        <v/>
      </c>
      <c r="Q29" s="13">
        <f>$G$8</f>
        <v/>
      </c>
      <c r="R29" s="35">
        <f>IF(Q29&gt;=1,0,P29/(1-Q29)-P29)</f>
        <v/>
      </c>
      <c r="S29" s="35">
        <f>P29+R29</f>
        <v/>
      </c>
      <c r="T29" s="13">
        <f>$G$9</f>
        <v/>
      </c>
      <c r="U29" s="35">
        <f>S29*T29</f>
        <v/>
      </c>
      <c r="V29" s="36">
        <f>ROUND(S29+U29,0)</f>
        <v/>
      </c>
      <c r="W29" s="16" t="n">
        <v>0</v>
      </c>
      <c r="X29" s="37">
        <f>V29+W29</f>
        <v/>
      </c>
    </row>
    <row r="30">
      <c r="A30" s="10">
        <f>'Project Info'!B40</f>
        <v/>
      </c>
      <c r="B30" s="11">
        <f>'Project Info'!C40</f>
        <v/>
      </c>
      <c r="C30" s="11">
        <f>'Project Info'!A40</f>
        <v/>
      </c>
      <c r="D30" s="35">
        <f>SUMIFS(Lines!$L$4:$L$303,Lines!$A$4:$A$303,A30)</f>
        <v/>
      </c>
      <c r="E30" s="35">
        <f>SUMIFS(Lines!$M$4:$M$303,Lines!$A$4:$A$303,A30)</f>
        <v/>
      </c>
      <c r="F30" s="35">
        <f>SUMIFS(Lines!$N$4:$N$303,Lines!$A$4:$A$303,A30)</f>
        <v/>
      </c>
      <c r="G30" s="13">
        <f>$G$4</f>
        <v/>
      </c>
      <c r="H30" s="35">
        <f>(D30+E30)*G30</f>
        <v/>
      </c>
      <c r="I30" s="35">
        <f>D30+E30+F30+H30</f>
        <v/>
      </c>
      <c r="J30" s="13">
        <f>$G$5</f>
        <v/>
      </c>
      <c r="K30" s="35">
        <f>I30*J30</f>
        <v/>
      </c>
      <c r="L30" s="13">
        <f>$G$6</f>
        <v/>
      </c>
      <c r="M30" s="35">
        <f>D30*L30</f>
        <v/>
      </c>
      <c r="N30" s="13">
        <f>$G$7</f>
        <v/>
      </c>
      <c r="O30" s="35">
        <f>I30*N30</f>
        <v/>
      </c>
      <c r="P30" s="35">
        <f>I30+K30+M30+O30</f>
        <v/>
      </c>
      <c r="Q30" s="13">
        <f>$G$8</f>
        <v/>
      </c>
      <c r="R30" s="35">
        <f>IF(Q30&gt;=1,0,P30/(1-Q30)-P30)</f>
        <v/>
      </c>
      <c r="S30" s="35">
        <f>P30+R30</f>
        <v/>
      </c>
      <c r="T30" s="13">
        <f>$G$9</f>
        <v/>
      </c>
      <c r="U30" s="35">
        <f>S30*T30</f>
        <v/>
      </c>
      <c r="V30" s="36">
        <f>ROUND(S30+U30,0)</f>
        <v/>
      </c>
      <c r="W30" s="16" t="n">
        <v>0</v>
      </c>
      <c r="X30" s="37">
        <f>V30+W30</f>
        <v/>
      </c>
    </row>
    <row r="31">
      <c r="A31" s="10">
        <f>'Project Info'!B41</f>
        <v/>
      </c>
      <c r="B31" s="11">
        <f>'Project Info'!C41</f>
        <v/>
      </c>
      <c r="C31" s="11">
        <f>'Project Info'!A41</f>
        <v/>
      </c>
      <c r="D31" s="35">
        <f>SUMIFS(Lines!$L$4:$L$303,Lines!$A$4:$A$303,A31)</f>
        <v/>
      </c>
      <c r="E31" s="35">
        <f>SUMIFS(Lines!$M$4:$M$303,Lines!$A$4:$A$303,A31)</f>
        <v/>
      </c>
      <c r="F31" s="35">
        <f>SUMIFS(Lines!$N$4:$N$303,Lines!$A$4:$A$303,A31)</f>
        <v/>
      </c>
      <c r="G31" s="13">
        <f>$G$4</f>
        <v/>
      </c>
      <c r="H31" s="35">
        <f>(D31+E31)*G31</f>
        <v/>
      </c>
      <c r="I31" s="35">
        <f>D31+E31+F31+H31</f>
        <v/>
      </c>
      <c r="J31" s="13">
        <f>$G$5</f>
        <v/>
      </c>
      <c r="K31" s="35">
        <f>I31*J31</f>
        <v/>
      </c>
      <c r="L31" s="13">
        <f>$G$6</f>
        <v/>
      </c>
      <c r="M31" s="35">
        <f>D31*L31</f>
        <v/>
      </c>
      <c r="N31" s="13">
        <f>$G$7</f>
        <v/>
      </c>
      <c r="O31" s="35">
        <f>I31*N31</f>
        <v/>
      </c>
      <c r="P31" s="35">
        <f>I31+K31+M31+O31</f>
        <v/>
      </c>
      <c r="Q31" s="13">
        <f>$G$8</f>
        <v/>
      </c>
      <c r="R31" s="35">
        <f>IF(Q31&gt;=1,0,P31/(1-Q31)-P31)</f>
        <v/>
      </c>
      <c r="S31" s="35">
        <f>P31+R31</f>
        <v/>
      </c>
      <c r="T31" s="13">
        <f>$G$9</f>
        <v/>
      </c>
      <c r="U31" s="35">
        <f>S31*T31</f>
        <v/>
      </c>
      <c r="V31" s="36">
        <f>ROUND(S31+U31,0)</f>
        <v/>
      </c>
      <c r="W31" s="16" t="n">
        <v>0</v>
      </c>
      <c r="X31" s="37">
        <f>V31+W31</f>
        <v/>
      </c>
    </row>
    <row r="32">
      <c r="A32" s="10">
        <f>'Project Info'!B42</f>
        <v/>
      </c>
      <c r="B32" s="11">
        <f>'Project Info'!C42</f>
        <v/>
      </c>
      <c r="C32" s="11">
        <f>'Project Info'!A42</f>
        <v/>
      </c>
      <c r="D32" s="35">
        <f>SUMIFS(Lines!$L$4:$L$303,Lines!$A$4:$A$303,A32)</f>
        <v/>
      </c>
      <c r="E32" s="35">
        <f>SUMIFS(Lines!$M$4:$M$303,Lines!$A$4:$A$303,A32)</f>
        <v/>
      </c>
      <c r="F32" s="35">
        <f>SUMIFS(Lines!$N$4:$N$303,Lines!$A$4:$A$303,A32)</f>
        <v/>
      </c>
      <c r="G32" s="13">
        <f>$G$4</f>
        <v/>
      </c>
      <c r="H32" s="35">
        <f>(D32+E32)*G32</f>
        <v/>
      </c>
      <c r="I32" s="35">
        <f>D32+E32+F32+H32</f>
        <v/>
      </c>
      <c r="J32" s="13">
        <f>$G$5</f>
        <v/>
      </c>
      <c r="K32" s="35">
        <f>I32*J32</f>
        <v/>
      </c>
      <c r="L32" s="13">
        <f>$G$6</f>
        <v/>
      </c>
      <c r="M32" s="35">
        <f>D32*L32</f>
        <v/>
      </c>
      <c r="N32" s="13">
        <f>$G$7</f>
        <v/>
      </c>
      <c r="O32" s="35">
        <f>I32*N32</f>
        <v/>
      </c>
      <c r="P32" s="35">
        <f>I32+K32+M32+O32</f>
        <v/>
      </c>
      <c r="Q32" s="13">
        <f>$G$8</f>
        <v/>
      </c>
      <c r="R32" s="35">
        <f>IF(Q32&gt;=1,0,P32/(1-Q32)-P32)</f>
        <v/>
      </c>
      <c r="S32" s="35">
        <f>P32+R32</f>
        <v/>
      </c>
      <c r="T32" s="13">
        <f>$G$9</f>
        <v/>
      </c>
      <c r="U32" s="35">
        <f>S32*T32</f>
        <v/>
      </c>
      <c r="V32" s="36">
        <f>ROUND(S32+U32,0)</f>
        <v/>
      </c>
      <c r="W32" s="16" t="n">
        <v>0</v>
      </c>
      <c r="X32" s="37">
        <f>V32+W32</f>
        <v/>
      </c>
    </row>
    <row r="33">
      <c r="A33" s="38" t="inlineStr">
        <is>
          <t>TOTAL / BOTTOM LINE (active scopes only)</t>
        </is>
      </c>
      <c r="D33" s="39">
        <f>SUMPRODUCT(($C$13:$C$32="Yes")*(D13:D32))</f>
        <v/>
      </c>
      <c r="E33" s="39">
        <f>SUMPRODUCT(($C$13:$C$32="Yes")*(E13:E32))</f>
        <v/>
      </c>
      <c r="F33" s="39">
        <f>SUMPRODUCT(($C$13:$C$32="Yes")*(F13:F32))</f>
        <v/>
      </c>
      <c r="H33" s="39">
        <f>SUMPRODUCT(($C$13:$C$32="Yes")*(H13:H32))</f>
        <v/>
      </c>
      <c r="I33" s="39">
        <f>SUMPRODUCT(($C$13:$C$32="Yes")*(I13:I32))</f>
        <v/>
      </c>
      <c r="K33" s="39">
        <f>SUMPRODUCT(($C$13:$C$32="Yes")*(K13:K32))</f>
        <v/>
      </c>
      <c r="M33" s="39">
        <f>SUMPRODUCT(($C$13:$C$32="Yes")*(M13:M32))</f>
        <v/>
      </c>
      <c r="O33" s="39">
        <f>SUMPRODUCT(($C$13:$C$32="Yes")*(O13:O32))</f>
        <v/>
      </c>
      <c r="P33" s="39">
        <f>SUMPRODUCT(($C$13:$C$32="Yes")*(P13:P32))</f>
        <v/>
      </c>
      <c r="R33" s="39">
        <f>SUMPRODUCT(($C$13:$C$32="Yes")*(R13:R32))</f>
        <v/>
      </c>
      <c r="S33" s="39">
        <f>SUMPRODUCT(($C$13:$C$32="Yes")*(S13:S32))</f>
        <v/>
      </c>
      <c r="U33" s="39">
        <f>SUMPRODUCT(($C$13:$C$32="Yes")*(U13:U32))</f>
        <v/>
      </c>
      <c r="V33" s="40">
        <f>SUMPRODUCT(($C$13:$C$32="Yes")*(V13:V32))</f>
        <v/>
      </c>
      <c r="W33" s="39">
        <f>SUMPRODUCT(($C$13:$C$32="Yes")*(W13:W32))</f>
        <v/>
      </c>
      <c r="X33" s="40">
        <f>SUMPRODUCT(($C$13:$C$32="Yes")*(X13:X32))</f>
        <v/>
      </c>
    </row>
    <row r="35" ht="22" customHeight="1">
      <c r="A35" s="7" t="inlineStr">
        <is>
          <t>ESTIMATE GRAND TOTAL (bottom line, all active scopes)</t>
        </is>
      </c>
      <c r="X35" s="41">
        <f>X33</f>
        <v/>
      </c>
    </row>
    <row r="37" ht="28" customHeight="1">
      <c r="A37" s="42" t="inlineStr">
        <is>
          <t>Chain order (matches the legacy NBS estimate workbooks): Material+Freight+Labor → Tax(Mat+Freight) → Category Subtotal → +Contingency, +Escalation(on Material), +Overhead → Sub Total 1 → +Fee (margin-based, per AiPM Toolbelt: Fee$ = SubTotal1÷(1−Fee%) − SubTotal1) → Sub Total 2 → +Bond/Insurance → Grand Total (rounded) → + manual Adjustment $ → Adjusted Grand Total.</t>
        </is>
      </c>
    </row>
  </sheetData>
  <mergeCells count="12">
    <mergeCell ref="A3:X3"/>
    <mergeCell ref="A33:C33"/>
    <mergeCell ref="A5:F5"/>
    <mergeCell ref="A35:W35"/>
    <mergeCell ref="A9:F9"/>
    <mergeCell ref="A8:F8"/>
    <mergeCell ref="A37:X37"/>
    <mergeCell ref="A6:F6"/>
    <mergeCell ref="A11:X11"/>
    <mergeCell ref="A4:F4"/>
    <mergeCell ref="A1:X1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1"/>
  <sheetViews>
    <sheetView showGridLines="0" zoomScale="10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22" customHeight="1">
      <c r="A1" s="1" t="inlineStr">
        <is>
          <t>BREAKOUT — cost buckets by building / phase / area / floor</t>
        </is>
      </c>
    </row>
    <row r="3" ht="18" customHeight="1">
      <c r="A3" s="5" t="inlineStr">
        <is>
          <t>1. DEFINE BREAKOUT GROUPS  (leave Freight Method = Proportional unless you have a manual freight number for this group)</t>
        </is>
      </c>
    </row>
    <row r="4">
      <c r="A4" s="25" t="inlineStr">
        <is>
          <t>Code</t>
        </is>
      </c>
      <c r="B4" s="25" t="inlineStr">
        <is>
          <t>Label</t>
        </is>
      </c>
      <c r="C4" s="25" t="inlineStr">
        <is>
          <t>Type</t>
        </is>
      </c>
      <c r="D4" s="25" t="inlineStr">
        <is>
          <t>OH Override %</t>
        </is>
      </c>
      <c r="E4" s="25" t="inlineStr">
        <is>
          <t>Fee Override %</t>
        </is>
      </c>
      <c r="F4" s="25" t="inlineStr">
        <is>
          <t>Esc Override %</t>
        </is>
      </c>
      <c r="G4" s="25" t="inlineStr">
        <is>
          <t>Freight Method</t>
        </is>
      </c>
      <c r="H4" s="25" t="inlineStr">
        <is>
          <t>Manual Freight $</t>
        </is>
      </c>
    </row>
    <row r="5">
      <c r="A5" s="16" t="n"/>
      <c r="B5" s="16" t="n"/>
      <c r="C5" s="16" t="n"/>
      <c r="D5" s="33" t="n"/>
      <c r="E5" s="33" t="n"/>
      <c r="F5" s="33" t="n"/>
      <c r="G5" s="16" t="inlineStr">
        <is>
          <t>Proportional</t>
        </is>
      </c>
      <c r="H5" s="43" t="n"/>
    </row>
    <row r="6">
      <c r="A6" s="16" t="n"/>
      <c r="B6" s="16" t="n"/>
      <c r="C6" s="16" t="n"/>
      <c r="D6" s="33" t="n"/>
      <c r="E6" s="33" t="n"/>
      <c r="F6" s="33" t="n"/>
      <c r="G6" s="16" t="inlineStr">
        <is>
          <t>Proportional</t>
        </is>
      </c>
      <c r="H6" s="43" t="n"/>
    </row>
    <row r="7">
      <c r="A7" s="16" t="n"/>
      <c r="B7" s="16" t="n"/>
      <c r="C7" s="16" t="n"/>
      <c r="D7" s="33" t="n"/>
      <c r="E7" s="33" t="n"/>
      <c r="F7" s="33" t="n"/>
      <c r="G7" s="16" t="inlineStr">
        <is>
          <t>Proportional</t>
        </is>
      </c>
      <c r="H7" s="43" t="n"/>
    </row>
    <row r="8">
      <c r="A8" s="16" t="n"/>
      <c r="B8" s="16" t="n"/>
      <c r="C8" s="16" t="n"/>
      <c r="D8" s="33" t="n"/>
      <c r="E8" s="33" t="n"/>
      <c r="F8" s="33" t="n"/>
      <c r="G8" s="16" t="inlineStr">
        <is>
          <t>Proportional</t>
        </is>
      </c>
      <c r="H8" s="43" t="n"/>
    </row>
    <row r="9">
      <c r="A9" s="16" t="n"/>
      <c r="B9" s="16" t="n"/>
      <c r="C9" s="16" t="n"/>
      <c r="D9" s="33" t="n"/>
      <c r="E9" s="33" t="n"/>
      <c r="F9" s="33" t="n"/>
      <c r="G9" s="16" t="inlineStr">
        <is>
          <t>Proportional</t>
        </is>
      </c>
      <c r="H9" s="43" t="n"/>
    </row>
    <row r="10">
      <c r="A10" s="16" t="n"/>
      <c r="B10" s="16" t="n"/>
      <c r="C10" s="16" t="n"/>
      <c r="D10" s="33" t="n"/>
      <c r="E10" s="33" t="n"/>
      <c r="F10" s="33" t="n"/>
      <c r="G10" s="16" t="inlineStr">
        <is>
          <t>Proportional</t>
        </is>
      </c>
      <c r="H10" s="43" t="n"/>
    </row>
    <row r="11">
      <c r="A11" s="16" t="n"/>
      <c r="B11" s="16" t="n"/>
      <c r="C11" s="16" t="n"/>
      <c r="D11" s="33" t="n"/>
      <c r="E11" s="33" t="n"/>
      <c r="F11" s="33" t="n"/>
      <c r="G11" s="16" t="inlineStr">
        <is>
          <t>Proportional</t>
        </is>
      </c>
      <c r="H11" s="43" t="n"/>
    </row>
    <row r="12">
      <c r="A12" s="16" t="n"/>
      <c r="B12" s="16" t="n"/>
      <c r="C12" s="16" t="n"/>
      <c r="D12" s="33" t="n"/>
      <c r="E12" s="33" t="n"/>
      <c r="F12" s="33" t="n"/>
      <c r="G12" s="16" t="inlineStr">
        <is>
          <t>Proportional</t>
        </is>
      </c>
      <c r="H12" s="43" t="n"/>
    </row>
    <row r="13">
      <c r="A13" s="16" t="n"/>
      <c r="B13" s="16" t="n"/>
      <c r="C13" s="16" t="n"/>
      <c r="D13" s="33" t="n"/>
      <c r="E13" s="33" t="n"/>
      <c r="F13" s="33" t="n"/>
      <c r="G13" s="16" t="inlineStr">
        <is>
          <t>Proportional</t>
        </is>
      </c>
      <c r="H13" s="43" t="n"/>
    </row>
    <row r="14">
      <c r="A14" s="16" t="n"/>
      <c r="B14" s="16" t="n"/>
      <c r="C14" s="16" t="n"/>
      <c r="D14" s="33" t="n"/>
      <c r="E14" s="33" t="n"/>
      <c r="F14" s="33" t="n"/>
      <c r="G14" s="16" t="inlineStr">
        <is>
          <t>Proportional</t>
        </is>
      </c>
      <c r="H14" s="43" t="n"/>
    </row>
    <row r="16" ht="18" customHeight="1">
      <c r="A16" s="5" t="inlineStr">
        <is>
          <t>2. BREAKOUT ROLLUP  (auto-calculated from the Lines tab's Breakout Group column)</t>
        </is>
      </c>
    </row>
    <row r="17">
      <c r="A17" s="25" t="inlineStr">
        <is>
          <t>Code</t>
        </is>
      </c>
      <c r="B17" s="25" t="inlineStr">
        <is>
          <t>Label</t>
        </is>
      </c>
      <c r="C17" s="25" t="inlineStr">
        <is>
          <t>Material</t>
        </is>
      </c>
      <c r="D17" s="25" t="inlineStr">
        <is>
          <t>Freight</t>
        </is>
      </c>
      <c r="E17" s="25" t="inlineStr">
        <is>
          <t>Labor</t>
        </is>
      </c>
      <c r="F17" s="25" t="inlineStr">
        <is>
          <t>Tax Rate %</t>
        </is>
      </c>
      <c r="G17" s="25" t="inlineStr">
        <is>
          <t>Tax $</t>
        </is>
      </c>
      <c r="H17" s="25" t="inlineStr">
        <is>
          <t>Category Subtotal</t>
        </is>
      </c>
      <c r="I17" s="25" t="inlineStr">
        <is>
          <t>Contingency Rate %</t>
        </is>
      </c>
      <c r="J17" s="25" t="inlineStr">
        <is>
          <t>Contingency $</t>
        </is>
      </c>
      <c r="K17" s="25" t="inlineStr">
        <is>
          <t>Esc Rate %</t>
        </is>
      </c>
      <c r="L17" s="25" t="inlineStr">
        <is>
          <t>Esc $</t>
        </is>
      </c>
      <c r="M17" s="25" t="inlineStr">
        <is>
          <t>OH Rate %</t>
        </is>
      </c>
      <c r="N17" s="25" t="inlineStr">
        <is>
          <t>OH $</t>
        </is>
      </c>
      <c r="O17" s="25" t="inlineStr">
        <is>
          <t>Sub Total 1</t>
        </is>
      </c>
      <c r="P17" s="25" t="inlineStr">
        <is>
          <t>Fee Rate % (margin)</t>
        </is>
      </c>
      <c r="Q17" s="25" t="inlineStr">
        <is>
          <t>Fee $</t>
        </is>
      </c>
      <c r="R17" s="25" t="inlineStr">
        <is>
          <t>Sub Total 2</t>
        </is>
      </c>
      <c r="S17" s="25" t="inlineStr">
        <is>
          <t>Bond Rate %</t>
        </is>
      </c>
      <c r="T17" s="25" t="inlineStr">
        <is>
          <t>Bond $</t>
        </is>
      </c>
      <c r="U17" s="25" t="inlineStr">
        <is>
          <t>GROUP TOTAL</t>
        </is>
      </c>
    </row>
    <row r="18">
      <c r="A18" s="44">
        <f>A5</f>
        <v/>
      </c>
      <c r="B18" s="44">
        <f>B5</f>
        <v/>
      </c>
      <c r="C18" s="35">
        <f>SUMIFS(Lines!$L$4:$L$303,Lines!$P$4:$P$303,A18)</f>
        <v/>
      </c>
      <c r="D18" s="35">
        <f>IF(G5="Manual",H5,IF(Markups!$D$33=0,0,C18/Markups!$D$33*Markups!$E$33))</f>
        <v/>
      </c>
      <c r="E18" s="35">
        <f>SUMIFS(Lines!$N$4:$N$303,Lines!$P$4:$P$303,A18)</f>
        <v/>
      </c>
      <c r="F18" s="13">
        <f>Markups!$G$4</f>
        <v/>
      </c>
      <c r="G18" s="35">
        <f>(C18+D18)*F18</f>
        <v/>
      </c>
      <c r="H18" s="35">
        <f>C18+D18+E18+G18</f>
        <v/>
      </c>
      <c r="I18" s="13">
        <f>Markups!$G$5</f>
        <v/>
      </c>
      <c r="J18" s="35">
        <f>H18*I18</f>
        <v/>
      </c>
      <c r="K18" s="13">
        <f>IF(F5&lt;&gt;"",F5,Markups!$G$6)</f>
        <v/>
      </c>
      <c r="L18" s="35">
        <f>C18*K18</f>
        <v/>
      </c>
      <c r="M18" s="13">
        <f>IF(D5&lt;&gt;"",D5,Markups!$G$7)</f>
        <v/>
      </c>
      <c r="N18" s="35">
        <f>H18*M18</f>
        <v/>
      </c>
      <c r="O18" s="35">
        <f>H18+J18+L18+N18</f>
        <v/>
      </c>
      <c r="P18" s="13">
        <f>IF(E5&lt;&gt;"",E5,Markups!$G$8)</f>
        <v/>
      </c>
      <c r="Q18" s="35">
        <f>IF(P18&gt;=1,0,O18/(1-P18)-O18)</f>
        <v/>
      </c>
      <c r="R18" s="35">
        <f>O18+Q18</f>
        <v/>
      </c>
      <c r="S18" s="13">
        <f>Markups!$G$9</f>
        <v/>
      </c>
      <c r="T18" s="35">
        <f>R18*S18</f>
        <v/>
      </c>
      <c r="U18" s="37">
        <f>ROUND(R18+T18,0)</f>
        <v/>
      </c>
    </row>
    <row r="19">
      <c r="A19" s="44">
        <f>A6</f>
        <v/>
      </c>
      <c r="B19" s="44">
        <f>B6</f>
        <v/>
      </c>
      <c r="C19" s="35">
        <f>SUMIFS(Lines!$L$4:$L$303,Lines!$P$4:$P$303,A19)</f>
        <v/>
      </c>
      <c r="D19" s="35">
        <f>IF(G6="Manual",H6,IF(Markups!$D$33=0,0,C19/Markups!$D$33*Markups!$E$33))</f>
        <v/>
      </c>
      <c r="E19" s="35">
        <f>SUMIFS(Lines!$N$4:$N$303,Lines!$P$4:$P$303,A19)</f>
        <v/>
      </c>
      <c r="F19" s="13">
        <f>Markups!$G$4</f>
        <v/>
      </c>
      <c r="G19" s="35">
        <f>(C19+D19)*F19</f>
        <v/>
      </c>
      <c r="H19" s="35">
        <f>C19+D19+E19+G19</f>
        <v/>
      </c>
      <c r="I19" s="13">
        <f>Markups!$G$5</f>
        <v/>
      </c>
      <c r="J19" s="35">
        <f>H19*I19</f>
        <v/>
      </c>
      <c r="K19" s="13">
        <f>IF(F6&lt;&gt;"",F6,Markups!$G$6)</f>
        <v/>
      </c>
      <c r="L19" s="35">
        <f>C19*K19</f>
        <v/>
      </c>
      <c r="M19" s="13">
        <f>IF(D6&lt;&gt;"",D6,Markups!$G$7)</f>
        <v/>
      </c>
      <c r="N19" s="35">
        <f>H19*M19</f>
        <v/>
      </c>
      <c r="O19" s="35">
        <f>H19+J19+L19+N19</f>
        <v/>
      </c>
      <c r="P19" s="13">
        <f>IF(E6&lt;&gt;"",E6,Markups!$G$8)</f>
        <v/>
      </c>
      <c r="Q19" s="35">
        <f>IF(P19&gt;=1,0,O19/(1-P19)-O19)</f>
        <v/>
      </c>
      <c r="R19" s="35">
        <f>O19+Q19</f>
        <v/>
      </c>
      <c r="S19" s="13">
        <f>Markups!$G$9</f>
        <v/>
      </c>
      <c r="T19" s="35">
        <f>R19*S19</f>
        <v/>
      </c>
      <c r="U19" s="37">
        <f>ROUND(R19+T19,0)</f>
        <v/>
      </c>
    </row>
    <row r="20">
      <c r="A20" s="44">
        <f>A7</f>
        <v/>
      </c>
      <c r="B20" s="44">
        <f>B7</f>
        <v/>
      </c>
      <c r="C20" s="35">
        <f>SUMIFS(Lines!$L$4:$L$303,Lines!$P$4:$P$303,A20)</f>
        <v/>
      </c>
      <c r="D20" s="35">
        <f>IF(G7="Manual",H7,IF(Markups!$D$33=0,0,C20/Markups!$D$33*Markups!$E$33))</f>
        <v/>
      </c>
      <c r="E20" s="35">
        <f>SUMIFS(Lines!$N$4:$N$303,Lines!$P$4:$P$303,A20)</f>
        <v/>
      </c>
      <c r="F20" s="13">
        <f>Markups!$G$4</f>
        <v/>
      </c>
      <c r="G20" s="35">
        <f>(C20+D20)*F20</f>
        <v/>
      </c>
      <c r="H20" s="35">
        <f>C20+D20+E20+G20</f>
        <v/>
      </c>
      <c r="I20" s="13">
        <f>Markups!$G$5</f>
        <v/>
      </c>
      <c r="J20" s="35">
        <f>H20*I20</f>
        <v/>
      </c>
      <c r="K20" s="13">
        <f>IF(F7&lt;&gt;"",F7,Markups!$G$6)</f>
        <v/>
      </c>
      <c r="L20" s="35">
        <f>C20*K20</f>
        <v/>
      </c>
      <c r="M20" s="13">
        <f>IF(D7&lt;&gt;"",D7,Markups!$G$7)</f>
        <v/>
      </c>
      <c r="N20" s="35">
        <f>H20*M20</f>
        <v/>
      </c>
      <c r="O20" s="35">
        <f>H20+J20+L20+N20</f>
        <v/>
      </c>
      <c r="P20" s="13">
        <f>IF(E7&lt;&gt;"",E7,Markups!$G$8)</f>
        <v/>
      </c>
      <c r="Q20" s="35">
        <f>IF(P20&gt;=1,0,O20/(1-P20)-O20)</f>
        <v/>
      </c>
      <c r="R20" s="35">
        <f>O20+Q20</f>
        <v/>
      </c>
      <c r="S20" s="13">
        <f>Markups!$G$9</f>
        <v/>
      </c>
      <c r="T20" s="35">
        <f>R20*S20</f>
        <v/>
      </c>
      <c r="U20" s="37">
        <f>ROUND(R20+T20,0)</f>
        <v/>
      </c>
    </row>
    <row r="21">
      <c r="A21" s="44">
        <f>A8</f>
        <v/>
      </c>
      <c r="B21" s="44">
        <f>B8</f>
        <v/>
      </c>
      <c r="C21" s="35">
        <f>SUMIFS(Lines!$L$4:$L$303,Lines!$P$4:$P$303,A21)</f>
        <v/>
      </c>
      <c r="D21" s="35">
        <f>IF(G8="Manual",H8,IF(Markups!$D$33=0,0,C21/Markups!$D$33*Markups!$E$33))</f>
        <v/>
      </c>
      <c r="E21" s="35">
        <f>SUMIFS(Lines!$N$4:$N$303,Lines!$P$4:$P$303,A21)</f>
        <v/>
      </c>
      <c r="F21" s="13">
        <f>Markups!$G$4</f>
        <v/>
      </c>
      <c r="G21" s="35">
        <f>(C21+D21)*F21</f>
        <v/>
      </c>
      <c r="H21" s="35">
        <f>C21+D21+E21+G21</f>
        <v/>
      </c>
      <c r="I21" s="13">
        <f>Markups!$G$5</f>
        <v/>
      </c>
      <c r="J21" s="35">
        <f>H21*I21</f>
        <v/>
      </c>
      <c r="K21" s="13">
        <f>IF(F8&lt;&gt;"",F8,Markups!$G$6)</f>
        <v/>
      </c>
      <c r="L21" s="35">
        <f>C21*K21</f>
        <v/>
      </c>
      <c r="M21" s="13">
        <f>IF(D8&lt;&gt;"",D8,Markups!$G$7)</f>
        <v/>
      </c>
      <c r="N21" s="35">
        <f>H21*M21</f>
        <v/>
      </c>
      <c r="O21" s="35">
        <f>H21+J21+L21+N21</f>
        <v/>
      </c>
      <c r="P21" s="13">
        <f>IF(E8&lt;&gt;"",E8,Markups!$G$8)</f>
        <v/>
      </c>
      <c r="Q21" s="35">
        <f>IF(P21&gt;=1,0,O21/(1-P21)-O21)</f>
        <v/>
      </c>
      <c r="R21" s="35">
        <f>O21+Q21</f>
        <v/>
      </c>
      <c r="S21" s="13">
        <f>Markups!$G$9</f>
        <v/>
      </c>
      <c r="T21" s="35">
        <f>R21*S21</f>
        <v/>
      </c>
      <c r="U21" s="37">
        <f>ROUND(R21+T21,0)</f>
        <v/>
      </c>
    </row>
    <row r="22">
      <c r="A22" s="44">
        <f>A9</f>
        <v/>
      </c>
      <c r="B22" s="44">
        <f>B9</f>
        <v/>
      </c>
      <c r="C22" s="35">
        <f>SUMIFS(Lines!$L$4:$L$303,Lines!$P$4:$P$303,A22)</f>
        <v/>
      </c>
      <c r="D22" s="35">
        <f>IF(G9="Manual",H9,IF(Markups!$D$33=0,0,C22/Markups!$D$33*Markups!$E$33))</f>
        <v/>
      </c>
      <c r="E22" s="35">
        <f>SUMIFS(Lines!$N$4:$N$303,Lines!$P$4:$P$303,A22)</f>
        <v/>
      </c>
      <c r="F22" s="13">
        <f>Markups!$G$4</f>
        <v/>
      </c>
      <c r="G22" s="35">
        <f>(C22+D22)*F22</f>
        <v/>
      </c>
      <c r="H22" s="35">
        <f>C22+D22+E22+G22</f>
        <v/>
      </c>
      <c r="I22" s="13">
        <f>Markups!$G$5</f>
        <v/>
      </c>
      <c r="J22" s="35">
        <f>H22*I22</f>
        <v/>
      </c>
      <c r="K22" s="13">
        <f>IF(F9&lt;&gt;"",F9,Markups!$G$6)</f>
        <v/>
      </c>
      <c r="L22" s="35">
        <f>C22*K22</f>
        <v/>
      </c>
      <c r="M22" s="13">
        <f>IF(D9&lt;&gt;"",D9,Markups!$G$7)</f>
        <v/>
      </c>
      <c r="N22" s="35">
        <f>H22*M22</f>
        <v/>
      </c>
      <c r="O22" s="35">
        <f>H22+J22+L22+N22</f>
        <v/>
      </c>
      <c r="P22" s="13">
        <f>IF(E9&lt;&gt;"",E9,Markups!$G$8)</f>
        <v/>
      </c>
      <c r="Q22" s="35">
        <f>IF(P22&gt;=1,0,O22/(1-P22)-O22)</f>
        <v/>
      </c>
      <c r="R22" s="35">
        <f>O22+Q22</f>
        <v/>
      </c>
      <c r="S22" s="13">
        <f>Markups!$G$9</f>
        <v/>
      </c>
      <c r="T22" s="35">
        <f>R22*S22</f>
        <v/>
      </c>
      <c r="U22" s="37">
        <f>ROUND(R22+T22,0)</f>
        <v/>
      </c>
    </row>
    <row r="23">
      <c r="A23" s="44">
        <f>A10</f>
        <v/>
      </c>
      <c r="B23" s="44">
        <f>B10</f>
        <v/>
      </c>
      <c r="C23" s="35">
        <f>SUMIFS(Lines!$L$4:$L$303,Lines!$P$4:$P$303,A23)</f>
        <v/>
      </c>
      <c r="D23" s="35">
        <f>IF(G10="Manual",H10,IF(Markups!$D$33=0,0,C23/Markups!$D$33*Markups!$E$33))</f>
        <v/>
      </c>
      <c r="E23" s="35">
        <f>SUMIFS(Lines!$N$4:$N$303,Lines!$P$4:$P$303,A23)</f>
        <v/>
      </c>
      <c r="F23" s="13">
        <f>Markups!$G$4</f>
        <v/>
      </c>
      <c r="G23" s="35">
        <f>(C23+D23)*F23</f>
        <v/>
      </c>
      <c r="H23" s="35">
        <f>C23+D23+E23+G23</f>
        <v/>
      </c>
      <c r="I23" s="13">
        <f>Markups!$G$5</f>
        <v/>
      </c>
      <c r="J23" s="35">
        <f>H23*I23</f>
        <v/>
      </c>
      <c r="K23" s="13">
        <f>IF(F10&lt;&gt;"",F10,Markups!$G$6)</f>
        <v/>
      </c>
      <c r="L23" s="35">
        <f>C23*K23</f>
        <v/>
      </c>
      <c r="M23" s="13">
        <f>IF(D10&lt;&gt;"",D10,Markups!$G$7)</f>
        <v/>
      </c>
      <c r="N23" s="35">
        <f>H23*M23</f>
        <v/>
      </c>
      <c r="O23" s="35">
        <f>H23+J23+L23+N23</f>
        <v/>
      </c>
      <c r="P23" s="13">
        <f>IF(E10&lt;&gt;"",E10,Markups!$G$8)</f>
        <v/>
      </c>
      <c r="Q23" s="35">
        <f>IF(P23&gt;=1,0,O23/(1-P23)-O23)</f>
        <v/>
      </c>
      <c r="R23" s="35">
        <f>O23+Q23</f>
        <v/>
      </c>
      <c r="S23" s="13">
        <f>Markups!$G$9</f>
        <v/>
      </c>
      <c r="T23" s="35">
        <f>R23*S23</f>
        <v/>
      </c>
      <c r="U23" s="37">
        <f>ROUND(R23+T23,0)</f>
        <v/>
      </c>
    </row>
    <row r="24">
      <c r="A24" s="44">
        <f>A11</f>
        <v/>
      </c>
      <c r="B24" s="44">
        <f>B11</f>
        <v/>
      </c>
      <c r="C24" s="35">
        <f>SUMIFS(Lines!$L$4:$L$303,Lines!$P$4:$P$303,A24)</f>
        <v/>
      </c>
      <c r="D24" s="35">
        <f>IF(G11="Manual",H11,IF(Markups!$D$33=0,0,C24/Markups!$D$33*Markups!$E$33))</f>
        <v/>
      </c>
      <c r="E24" s="35">
        <f>SUMIFS(Lines!$N$4:$N$303,Lines!$P$4:$P$303,A24)</f>
        <v/>
      </c>
      <c r="F24" s="13">
        <f>Markups!$G$4</f>
        <v/>
      </c>
      <c r="G24" s="35">
        <f>(C24+D24)*F24</f>
        <v/>
      </c>
      <c r="H24" s="35">
        <f>C24+D24+E24+G24</f>
        <v/>
      </c>
      <c r="I24" s="13">
        <f>Markups!$G$5</f>
        <v/>
      </c>
      <c r="J24" s="35">
        <f>H24*I24</f>
        <v/>
      </c>
      <c r="K24" s="13">
        <f>IF(F11&lt;&gt;"",F11,Markups!$G$6)</f>
        <v/>
      </c>
      <c r="L24" s="35">
        <f>C24*K24</f>
        <v/>
      </c>
      <c r="M24" s="13">
        <f>IF(D11&lt;&gt;"",D11,Markups!$G$7)</f>
        <v/>
      </c>
      <c r="N24" s="35">
        <f>H24*M24</f>
        <v/>
      </c>
      <c r="O24" s="35">
        <f>H24+J24+L24+N24</f>
        <v/>
      </c>
      <c r="P24" s="13">
        <f>IF(E11&lt;&gt;"",E11,Markups!$G$8)</f>
        <v/>
      </c>
      <c r="Q24" s="35">
        <f>IF(P24&gt;=1,0,O24/(1-P24)-O24)</f>
        <v/>
      </c>
      <c r="R24" s="35">
        <f>O24+Q24</f>
        <v/>
      </c>
      <c r="S24" s="13">
        <f>Markups!$G$9</f>
        <v/>
      </c>
      <c r="T24" s="35">
        <f>R24*S24</f>
        <v/>
      </c>
      <c r="U24" s="37">
        <f>ROUND(R24+T24,0)</f>
        <v/>
      </c>
    </row>
    <row r="25">
      <c r="A25" s="44">
        <f>A12</f>
        <v/>
      </c>
      <c r="B25" s="44">
        <f>B12</f>
        <v/>
      </c>
      <c r="C25" s="35">
        <f>SUMIFS(Lines!$L$4:$L$303,Lines!$P$4:$P$303,A25)</f>
        <v/>
      </c>
      <c r="D25" s="35">
        <f>IF(G12="Manual",H12,IF(Markups!$D$33=0,0,C25/Markups!$D$33*Markups!$E$33))</f>
        <v/>
      </c>
      <c r="E25" s="35">
        <f>SUMIFS(Lines!$N$4:$N$303,Lines!$P$4:$P$303,A25)</f>
        <v/>
      </c>
      <c r="F25" s="13">
        <f>Markups!$G$4</f>
        <v/>
      </c>
      <c r="G25" s="35">
        <f>(C25+D25)*F25</f>
        <v/>
      </c>
      <c r="H25" s="35">
        <f>C25+D25+E25+G25</f>
        <v/>
      </c>
      <c r="I25" s="13">
        <f>Markups!$G$5</f>
        <v/>
      </c>
      <c r="J25" s="35">
        <f>H25*I25</f>
        <v/>
      </c>
      <c r="K25" s="13">
        <f>IF(F12&lt;&gt;"",F12,Markups!$G$6)</f>
        <v/>
      </c>
      <c r="L25" s="35">
        <f>C25*K25</f>
        <v/>
      </c>
      <c r="M25" s="13">
        <f>IF(D12&lt;&gt;"",D12,Markups!$G$7)</f>
        <v/>
      </c>
      <c r="N25" s="35">
        <f>H25*M25</f>
        <v/>
      </c>
      <c r="O25" s="35">
        <f>H25+J25+L25+N25</f>
        <v/>
      </c>
      <c r="P25" s="13">
        <f>IF(E12&lt;&gt;"",E12,Markups!$G$8)</f>
        <v/>
      </c>
      <c r="Q25" s="35">
        <f>IF(P25&gt;=1,0,O25/(1-P25)-O25)</f>
        <v/>
      </c>
      <c r="R25" s="35">
        <f>O25+Q25</f>
        <v/>
      </c>
      <c r="S25" s="13">
        <f>Markups!$G$9</f>
        <v/>
      </c>
      <c r="T25" s="35">
        <f>R25*S25</f>
        <v/>
      </c>
      <c r="U25" s="37">
        <f>ROUND(R25+T25,0)</f>
        <v/>
      </c>
    </row>
    <row r="26">
      <c r="A26" s="44">
        <f>A13</f>
        <v/>
      </c>
      <c r="B26" s="44">
        <f>B13</f>
        <v/>
      </c>
      <c r="C26" s="35">
        <f>SUMIFS(Lines!$L$4:$L$303,Lines!$P$4:$P$303,A26)</f>
        <v/>
      </c>
      <c r="D26" s="35">
        <f>IF(G13="Manual",H13,IF(Markups!$D$33=0,0,C26/Markups!$D$33*Markups!$E$33))</f>
        <v/>
      </c>
      <c r="E26" s="35">
        <f>SUMIFS(Lines!$N$4:$N$303,Lines!$P$4:$P$303,A26)</f>
        <v/>
      </c>
      <c r="F26" s="13">
        <f>Markups!$G$4</f>
        <v/>
      </c>
      <c r="G26" s="35">
        <f>(C26+D26)*F26</f>
        <v/>
      </c>
      <c r="H26" s="35">
        <f>C26+D26+E26+G26</f>
        <v/>
      </c>
      <c r="I26" s="13">
        <f>Markups!$G$5</f>
        <v/>
      </c>
      <c r="J26" s="35">
        <f>H26*I26</f>
        <v/>
      </c>
      <c r="K26" s="13">
        <f>IF(F13&lt;&gt;"",F13,Markups!$G$6)</f>
        <v/>
      </c>
      <c r="L26" s="35">
        <f>C26*K26</f>
        <v/>
      </c>
      <c r="M26" s="13">
        <f>IF(D13&lt;&gt;"",D13,Markups!$G$7)</f>
        <v/>
      </c>
      <c r="N26" s="35">
        <f>H26*M26</f>
        <v/>
      </c>
      <c r="O26" s="35">
        <f>H26+J26+L26+N26</f>
        <v/>
      </c>
      <c r="P26" s="13">
        <f>IF(E13&lt;&gt;"",E13,Markups!$G$8)</f>
        <v/>
      </c>
      <c r="Q26" s="35">
        <f>IF(P26&gt;=1,0,O26/(1-P26)-O26)</f>
        <v/>
      </c>
      <c r="R26" s="35">
        <f>O26+Q26</f>
        <v/>
      </c>
      <c r="S26" s="13">
        <f>Markups!$G$9</f>
        <v/>
      </c>
      <c r="T26" s="35">
        <f>R26*S26</f>
        <v/>
      </c>
      <c r="U26" s="37">
        <f>ROUND(R26+T26,0)</f>
        <v/>
      </c>
    </row>
    <row r="27">
      <c r="A27" s="44">
        <f>A14</f>
        <v/>
      </c>
      <c r="B27" s="44">
        <f>B14</f>
        <v/>
      </c>
      <c r="C27" s="35">
        <f>SUMIFS(Lines!$L$4:$L$303,Lines!$P$4:$P$303,A27)</f>
        <v/>
      </c>
      <c r="D27" s="35">
        <f>IF(G14="Manual",H14,IF(Markups!$D$33=0,0,C27/Markups!$D$33*Markups!$E$33))</f>
        <v/>
      </c>
      <c r="E27" s="35">
        <f>SUMIFS(Lines!$N$4:$N$303,Lines!$P$4:$P$303,A27)</f>
        <v/>
      </c>
      <c r="F27" s="13">
        <f>Markups!$G$4</f>
        <v/>
      </c>
      <c r="G27" s="35">
        <f>(C27+D27)*F27</f>
        <v/>
      </c>
      <c r="H27" s="35">
        <f>C27+D27+E27+G27</f>
        <v/>
      </c>
      <c r="I27" s="13">
        <f>Markups!$G$5</f>
        <v/>
      </c>
      <c r="J27" s="35">
        <f>H27*I27</f>
        <v/>
      </c>
      <c r="K27" s="13">
        <f>IF(F14&lt;&gt;"",F14,Markups!$G$6)</f>
        <v/>
      </c>
      <c r="L27" s="35">
        <f>C27*K27</f>
        <v/>
      </c>
      <c r="M27" s="13">
        <f>IF(D14&lt;&gt;"",D14,Markups!$G$7)</f>
        <v/>
      </c>
      <c r="N27" s="35">
        <f>H27*M27</f>
        <v/>
      </c>
      <c r="O27" s="35">
        <f>H27+J27+L27+N27</f>
        <v/>
      </c>
      <c r="P27" s="13">
        <f>IF(E14&lt;&gt;"",E14,Markups!$G$8)</f>
        <v/>
      </c>
      <c r="Q27" s="35">
        <f>IF(P27&gt;=1,0,O27/(1-P27)-O27)</f>
        <v/>
      </c>
      <c r="R27" s="35">
        <f>O27+Q27</f>
        <v/>
      </c>
      <c r="S27" s="13">
        <f>Markups!$G$9</f>
        <v/>
      </c>
      <c r="T27" s="35">
        <f>R27*S27</f>
        <v/>
      </c>
      <c r="U27" s="37">
        <f>ROUND(R27+T27,0)</f>
        <v/>
      </c>
    </row>
    <row r="29">
      <c r="A29" s="2" t="inlineStr">
        <is>
          <t>RECONCILIATION</t>
        </is>
      </c>
      <c r="B29" s="2" t="inlineStr">
        <is>
          <t>Breakout Sum:</t>
        </is>
      </c>
      <c r="C29" s="45">
        <f>SUM(U18:U27)</f>
        <v/>
      </c>
      <c r="D29" s="2" t="inlineStr">
        <is>
          <t>vs. Markups Grand Total:</t>
        </is>
      </c>
      <c r="E29" s="6">
        <f>Markups!X33</f>
        <v/>
      </c>
      <c r="F29" s="2" t="inlineStr">
        <is>
          <t>Difference:</t>
        </is>
      </c>
      <c r="G29" s="45">
        <f>C29-E29</f>
        <v/>
      </c>
      <c r="H29" s="2">
        <f>IF(ROUND(G29,2)=0,"OK","Unallocated lines — assign every Lines row to a Breakout Group")</f>
        <v/>
      </c>
    </row>
    <row r="31" ht="26" customHeight="1">
      <c r="A31" s="42" t="inlineStr">
        <is>
          <t>This rollup mirrors the Markups tab's bid chain exactly (same rate cells, same order) so the reconciliation ties to $0 once every active line item is assigned to a Breakout Group. If a group mixes line items from scopes that carry different per-scope OH/Fee/Escalation overrides on the Markups tab, the group uses its own single OH/Fee/Esc Override (or the global default) — so a mixed-scope group's total may not exactly equal the sum of those lines' scope-level totals; use per-group overrides to match if needed.</t>
        </is>
      </c>
    </row>
  </sheetData>
  <mergeCells count="4">
    <mergeCell ref="A1:U1"/>
    <mergeCell ref="A31:U31"/>
    <mergeCell ref="A3:U3"/>
    <mergeCell ref="A16:U16"/>
  </mergeCells>
  <dataValidations count="2">
    <dataValidation sqref="C5:C14" showDropDown="0" showInputMessage="0" showErrorMessage="0" allowBlank="1" type="list">
      <formula1>=Lists!$I$2:$I$5</formula1>
    </dataValidation>
    <dataValidation sqref="G5:G14" showDropDown="0" showInputMessage="0" showErrorMessage="0" allowBlank="1" type="list">
      <formula1>=Lists!$J$2:$J$3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2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0" customWidth="1" min="4" max="4"/>
  </cols>
  <sheetData>
    <row r="1" ht="22" customHeight="1">
      <c r="A1" s="1" t="inlineStr">
        <is>
          <t>PROPOSAL / FURNISH ONLY — DIVISION 10 SPECIALTIES</t>
        </is>
      </c>
    </row>
    <row r="2">
      <c r="A2" s="27" t="inlineStr">
        <is>
          <t>[Your Company Name / Letterhead]</t>
        </is>
      </c>
    </row>
    <row r="4">
      <c r="A4" s="2" t="inlineStr">
        <is>
          <t>Date</t>
        </is>
      </c>
      <c r="B4" s="16" t="n"/>
    </row>
    <row r="5">
      <c r="A5" s="2" t="inlineStr">
        <is>
          <t>Proposal #</t>
        </is>
      </c>
      <c r="B5" s="10">
        <f>'Project Info'!B3</f>
        <v/>
      </c>
    </row>
    <row r="6">
      <c r="A6" s="2" t="inlineStr">
        <is>
          <t>Project</t>
        </is>
      </c>
      <c r="B6" s="10">
        <f>'Project Info'!B4</f>
        <v/>
      </c>
    </row>
    <row r="7">
      <c r="A7" s="2" t="inlineStr">
        <is>
          <t>GC / Client</t>
        </is>
      </c>
      <c r="B7" s="10">
        <f>'Project Info'!B5</f>
        <v/>
      </c>
    </row>
    <row r="8">
      <c r="A8" s="2" t="inlineStr">
        <is>
          <t>Attn</t>
        </is>
      </c>
      <c r="B8" s="16" t="n"/>
    </row>
    <row r="9">
      <c r="A9" s="2" t="inlineStr">
        <is>
          <t>Prepared By</t>
        </is>
      </c>
      <c r="B9" s="10">
        <f>'Project Info'!B6</f>
        <v/>
      </c>
    </row>
    <row r="11" ht="18" customHeight="1">
      <c r="A11" s="5" t="inlineStr">
        <is>
          <t>01 — SCOPE OF MATERIAL</t>
        </is>
      </c>
    </row>
    <row r="12">
      <c r="A12" s="9" t="inlineStr">
        <is>
          <t>Scope</t>
        </is>
      </c>
      <c r="B12" s="9" t="inlineStr">
        <is>
          <t>CSI Code</t>
        </is>
      </c>
      <c r="C12" s="9" t="inlineStr">
        <is>
          <t>Price</t>
        </is>
      </c>
    </row>
    <row r="13">
      <c r="A13" s="10">
        <f>Markups!A13</f>
        <v/>
      </c>
      <c r="B13" s="11">
        <f>Markups!B13</f>
        <v/>
      </c>
      <c r="C13" s="12">
        <f>IF(Markups!C13="Yes",Markups!X13,"")</f>
        <v/>
      </c>
    </row>
    <row r="14">
      <c r="A14" s="10">
        <f>Markups!A14</f>
        <v/>
      </c>
      <c r="B14" s="11">
        <f>Markups!B14</f>
        <v/>
      </c>
      <c r="C14" s="12">
        <f>IF(Markups!C14="Yes",Markups!X14,"")</f>
        <v/>
      </c>
    </row>
    <row r="15">
      <c r="A15" s="10">
        <f>Markups!A15</f>
        <v/>
      </c>
      <c r="B15" s="11">
        <f>Markups!B15</f>
        <v/>
      </c>
      <c r="C15" s="12">
        <f>IF(Markups!C15="Yes",Markups!X15,"")</f>
        <v/>
      </c>
    </row>
    <row r="16">
      <c r="A16" s="10">
        <f>Markups!A16</f>
        <v/>
      </c>
      <c r="B16" s="11">
        <f>Markups!B16</f>
        <v/>
      </c>
      <c r="C16" s="12">
        <f>IF(Markups!C16="Yes",Markups!X16,"")</f>
        <v/>
      </c>
    </row>
    <row r="17">
      <c r="A17" s="10">
        <f>Markups!A17</f>
        <v/>
      </c>
      <c r="B17" s="11">
        <f>Markups!B17</f>
        <v/>
      </c>
      <c r="C17" s="12">
        <f>IF(Markups!C17="Yes",Markups!X17,"")</f>
        <v/>
      </c>
    </row>
    <row r="18">
      <c r="A18" s="10">
        <f>Markups!A18</f>
        <v/>
      </c>
      <c r="B18" s="11">
        <f>Markups!B18</f>
        <v/>
      </c>
      <c r="C18" s="12">
        <f>IF(Markups!C18="Yes",Markups!X18,"")</f>
        <v/>
      </c>
    </row>
    <row r="19">
      <c r="A19" s="10">
        <f>Markups!A19</f>
        <v/>
      </c>
      <c r="B19" s="11">
        <f>Markups!B19</f>
        <v/>
      </c>
      <c r="C19" s="12">
        <f>IF(Markups!C19="Yes",Markups!X19,"")</f>
        <v/>
      </c>
    </row>
    <row r="20">
      <c r="A20" s="10">
        <f>Markups!A20</f>
        <v/>
      </c>
      <c r="B20" s="11">
        <f>Markups!B20</f>
        <v/>
      </c>
      <c r="C20" s="12">
        <f>IF(Markups!C20="Yes",Markups!X20,"")</f>
        <v/>
      </c>
    </row>
    <row r="21">
      <c r="A21" s="10">
        <f>Markups!A21</f>
        <v/>
      </c>
      <c r="B21" s="11">
        <f>Markups!B21</f>
        <v/>
      </c>
      <c r="C21" s="12">
        <f>IF(Markups!C21="Yes",Markups!X21,"")</f>
        <v/>
      </c>
    </row>
    <row r="22">
      <c r="A22" s="10">
        <f>Markups!A22</f>
        <v/>
      </c>
      <c r="B22" s="11">
        <f>Markups!B22</f>
        <v/>
      </c>
      <c r="C22" s="12">
        <f>IF(Markups!C22="Yes",Markups!X22,"")</f>
        <v/>
      </c>
    </row>
    <row r="23">
      <c r="A23" s="10">
        <f>Markups!A23</f>
        <v/>
      </c>
      <c r="B23" s="11">
        <f>Markups!B23</f>
        <v/>
      </c>
      <c r="C23" s="12">
        <f>IF(Markups!C23="Yes",Markups!X23,"")</f>
        <v/>
      </c>
    </row>
    <row r="24">
      <c r="A24" s="10">
        <f>Markups!A24</f>
        <v/>
      </c>
      <c r="B24" s="11">
        <f>Markups!B24</f>
        <v/>
      </c>
      <c r="C24" s="12">
        <f>IF(Markups!C24="Yes",Markups!X24,"")</f>
        <v/>
      </c>
    </row>
    <row r="25">
      <c r="A25" s="10">
        <f>Markups!A25</f>
        <v/>
      </c>
      <c r="B25" s="11">
        <f>Markups!B25</f>
        <v/>
      </c>
      <c r="C25" s="12">
        <f>IF(Markups!C25="Yes",Markups!X25,"")</f>
        <v/>
      </c>
    </row>
    <row r="26">
      <c r="A26" s="10">
        <f>Markups!A26</f>
        <v/>
      </c>
      <c r="B26" s="11">
        <f>Markups!B26</f>
        <v/>
      </c>
      <c r="C26" s="12">
        <f>IF(Markups!C26="Yes",Markups!X26,"")</f>
        <v/>
      </c>
    </row>
    <row r="27">
      <c r="A27" s="10">
        <f>Markups!A27</f>
        <v/>
      </c>
      <c r="B27" s="11">
        <f>Markups!B27</f>
        <v/>
      </c>
      <c r="C27" s="12">
        <f>IF(Markups!C27="Yes",Markups!X27,"")</f>
        <v/>
      </c>
    </row>
    <row r="28">
      <c r="A28" s="10">
        <f>Markups!A28</f>
        <v/>
      </c>
      <c r="B28" s="11">
        <f>Markups!B28</f>
        <v/>
      </c>
      <c r="C28" s="12">
        <f>IF(Markups!C28="Yes",Markups!X28,"")</f>
        <v/>
      </c>
    </row>
    <row r="29">
      <c r="A29" s="10">
        <f>Markups!A29</f>
        <v/>
      </c>
      <c r="B29" s="11">
        <f>Markups!B29</f>
        <v/>
      </c>
      <c r="C29" s="12">
        <f>IF(Markups!C29="Yes",Markups!X29,"")</f>
        <v/>
      </c>
    </row>
    <row r="30">
      <c r="A30" s="10">
        <f>Markups!A30</f>
        <v/>
      </c>
      <c r="B30" s="11">
        <f>Markups!B30</f>
        <v/>
      </c>
      <c r="C30" s="12">
        <f>IF(Markups!C30="Yes",Markups!X30,"")</f>
        <v/>
      </c>
    </row>
    <row r="31">
      <c r="A31" s="10">
        <f>Markups!A31</f>
        <v/>
      </c>
      <c r="B31" s="11">
        <f>Markups!B31</f>
        <v/>
      </c>
      <c r="C31" s="12">
        <f>IF(Markups!C31="Yes",Markups!X31,"")</f>
        <v/>
      </c>
    </row>
    <row r="32">
      <c r="A32" s="10">
        <f>Markups!A32</f>
        <v/>
      </c>
      <c r="B32" s="11">
        <f>Markups!B32</f>
        <v/>
      </c>
      <c r="C32" s="12">
        <f>IF(Markups!C32="Yes",Markups!X32,"")</f>
        <v/>
      </c>
    </row>
    <row r="33">
      <c r="A33" s="38" t="inlineStr">
        <is>
          <t>TOTAL BID</t>
        </is>
      </c>
      <c r="B33" s="46" t="n"/>
      <c r="C33" s="47">
        <f>Markups!X33</f>
        <v/>
      </c>
    </row>
    <row r="34">
      <c r="A34" s="24" t="inlineStr">
        <is>
          <t>Full line-item detail is on the Lines tab (filter/sort by Scope).</t>
        </is>
      </c>
    </row>
    <row r="36" ht="18" customHeight="1">
      <c r="A36" s="5" t="inlineStr">
        <is>
          <t>02 — QUALIFICATIONS   |   03 — INCLUSIONS   |   04 — EXCLUSIONS</t>
        </is>
      </c>
    </row>
    <row r="37">
      <c r="A37" s="9" t="inlineStr">
        <is>
          <t>Scope</t>
        </is>
      </c>
      <c r="B37" s="9" t="inlineStr">
        <is>
          <t>Qualifications</t>
        </is>
      </c>
      <c r="C37" s="9" t="inlineStr">
        <is>
          <t>Inclusions</t>
        </is>
      </c>
      <c r="D37" s="9" t="inlineStr">
        <is>
          <t>Exclusions</t>
        </is>
      </c>
    </row>
    <row r="38" ht="30" customHeight="1">
      <c r="A38" s="3">
        <f>Markups!A13</f>
        <v/>
      </c>
      <c r="B38" s="20" t="n"/>
      <c r="C38" s="20" t="n"/>
      <c r="D38" s="20" t="n"/>
    </row>
    <row r="39" ht="30" customHeight="1">
      <c r="A39" s="3">
        <f>Markups!A14</f>
        <v/>
      </c>
      <c r="B39" s="20" t="n"/>
      <c r="C39" s="20" t="n"/>
      <c r="D39" s="20" t="n"/>
    </row>
    <row r="40" ht="30" customHeight="1">
      <c r="A40" s="3">
        <f>Markups!A15</f>
        <v/>
      </c>
      <c r="B40" s="20" t="n"/>
      <c r="C40" s="20" t="n"/>
      <c r="D40" s="20" t="n"/>
    </row>
    <row r="41" ht="30" customHeight="1">
      <c r="A41" s="3">
        <f>Markups!A16</f>
        <v/>
      </c>
      <c r="B41" s="20" t="n"/>
      <c r="C41" s="20" t="n"/>
      <c r="D41" s="20" t="n"/>
    </row>
    <row r="42" ht="30" customHeight="1">
      <c r="A42" s="3">
        <f>Markups!A17</f>
        <v/>
      </c>
      <c r="B42" s="20" t="n"/>
      <c r="C42" s="20" t="n"/>
      <c r="D42" s="20" t="n"/>
    </row>
    <row r="43" ht="30" customHeight="1">
      <c r="A43" s="3">
        <f>Markups!A18</f>
        <v/>
      </c>
      <c r="B43" s="20" t="n"/>
      <c r="C43" s="20" t="n"/>
      <c r="D43" s="20" t="n"/>
    </row>
    <row r="44" ht="30" customHeight="1">
      <c r="A44" s="3">
        <f>Markups!A19</f>
        <v/>
      </c>
      <c r="B44" s="20" t="n"/>
      <c r="C44" s="20" t="n"/>
      <c r="D44" s="20" t="n"/>
    </row>
    <row r="45" ht="30" customHeight="1">
      <c r="A45" s="3">
        <f>Markups!A20</f>
        <v/>
      </c>
      <c r="B45" s="20" t="n"/>
      <c r="C45" s="20" t="n"/>
      <c r="D45" s="20" t="n"/>
    </row>
    <row r="46" ht="30" customHeight="1">
      <c r="A46" s="3">
        <f>Markups!A21</f>
        <v/>
      </c>
      <c r="B46" s="20" t="n"/>
      <c r="C46" s="20" t="n"/>
      <c r="D46" s="20" t="n"/>
    </row>
    <row r="47" ht="30" customHeight="1">
      <c r="A47" s="3">
        <f>Markups!A22</f>
        <v/>
      </c>
      <c r="B47" s="20" t="n"/>
      <c r="C47" s="20" t="n"/>
      <c r="D47" s="20" t="n"/>
    </row>
    <row r="48" ht="30" customHeight="1">
      <c r="A48" s="3">
        <f>Markups!A23</f>
        <v/>
      </c>
      <c r="B48" s="20" t="n"/>
      <c r="C48" s="20" t="n"/>
      <c r="D48" s="20" t="n"/>
    </row>
    <row r="49" ht="30" customHeight="1">
      <c r="A49" s="3">
        <f>Markups!A24</f>
        <v/>
      </c>
      <c r="B49" s="20" t="n"/>
      <c r="C49" s="20" t="n"/>
      <c r="D49" s="20" t="n"/>
    </row>
    <row r="50" ht="30" customHeight="1">
      <c r="A50" s="3">
        <f>Markups!A25</f>
        <v/>
      </c>
      <c r="B50" s="20" t="n"/>
      <c r="C50" s="20" t="n"/>
      <c r="D50" s="20" t="n"/>
    </row>
    <row r="51" ht="30" customHeight="1">
      <c r="A51" s="3">
        <f>Markups!A26</f>
        <v/>
      </c>
      <c r="B51" s="20" t="n"/>
      <c r="C51" s="20" t="n"/>
      <c r="D51" s="20" t="n"/>
    </row>
    <row r="52" ht="30" customHeight="1">
      <c r="A52" s="3">
        <f>Markups!A27</f>
        <v/>
      </c>
      <c r="B52" s="20" t="n"/>
      <c r="C52" s="20" t="n"/>
      <c r="D52" s="20" t="n"/>
    </row>
    <row r="53" ht="30" customHeight="1">
      <c r="A53" s="3">
        <f>Markups!A28</f>
        <v/>
      </c>
      <c r="B53" s="20" t="n"/>
      <c r="C53" s="20" t="n"/>
      <c r="D53" s="20" t="n"/>
    </row>
    <row r="54" ht="30" customHeight="1">
      <c r="A54" s="3">
        <f>Markups!A29</f>
        <v/>
      </c>
      <c r="B54" s="20" t="n"/>
      <c r="C54" s="20" t="n"/>
      <c r="D54" s="20" t="n"/>
    </row>
    <row r="55" ht="30" customHeight="1">
      <c r="A55" s="3">
        <f>Markups!A30</f>
        <v/>
      </c>
      <c r="B55" s="20" t="n"/>
      <c r="C55" s="20" t="n"/>
      <c r="D55" s="20" t="n"/>
    </row>
    <row r="56" ht="30" customHeight="1">
      <c r="A56" s="3">
        <f>Markups!A31</f>
        <v/>
      </c>
      <c r="B56" s="20" t="n"/>
      <c r="C56" s="20" t="n"/>
      <c r="D56" s="20" t="n"/>
    </row>
    <row r="57" ht="30" customHeight="1">
      <c r="A57" s="3">
        <f>Markups!A32</f>
        <v/>
      </c>
      <c r="B57" s="20" t="n"/>
      <c r="C57" s="20" t="n"/>
      <c r="D57" s="20" t="n"/>
    </row>
    <row r="59" ht="18" customHeight="1">
      <c r="A59" s="5" t="inlineStr">
        <is>
          <t>BREAKOUT SUMMARY (if breakout groups are used)</t>
        </is>
      </c>
    </row>
    <row r="60">
      <c r="A60" s="9" t="inlineStr">
        <is>
          <t>Group Code</t>
        </is>
      </c>
      <c r="B60" s="9" t="inlineStr">
        <is>
          <t>Label</t>
        </is>
      </c>
      <c r="C60" s="9" t="inlineStr">
        <is>
          <t>Total</t>
        </is>
      </c>
      <c r="D60" s="9" t="inlineStr"/>
    </row>
    <row r="61">
      <c r="A61" s="10">
        <f>Breakout!A18</f>
        <v/>
      </c>
      <c r="B61" s="10">
        <f>Breakout!B18</f>
        <v/>
      </c>
      <c r="C61" s="12">
        <f>Breakout!U18</f>
        <v/>
      </c>
    </row>
    <row r="62">
      <c r="A62" s="10">
        <f>Breakout!A19</f>
        <v/>
      </c>
      <c r="B62" s="10">
        <f>Breakout!B19</f>
        <v/>
      </c>
      <c r="C62" s="12">
        <f>Breakout!U19</f>
        <v/>
      </c>
    </row>
    <row r="63">
      <c r="A63" s="10">
        <f>Breakout!A20</f>
        <v/>
      </c>
      <c r="B63" s="10">
        <f>Breakout!B20</f>
        <v/>
      </c>
      <c r="C63" s="12">
        <f>Breakout!U20</f>
        <v/>
      </c>
    </row>
    <row r="64">
      <c r="A64" s="10">
        <f>Breakout!A21</f>
        <v/>
      </c>
      <c r="B64" s="10">
        <f>Breakout!B21</f>
        <v/>
      </c>
      <c r="C64" s="12">
        <f>Breakout!U21</f>
        <v/>
      </c>
    </row>
    <row r="65">
      <c r="A65" s="10">
        <f>Breakout!A22</f>
        <v/>
      </c>
      <c r="B65" s="10">
        <f>Breakout!B22</f>
        <v/>
      </c>
      <c r="C65" s="12">
        <f>Breakout!U22</f>
        <v/>
      </c>
    </row>
    <row r="66">
      <c r="A66" s="10">
        <f>Breakout!A23</f>
        <v/>
      </c>
      <c r="B66" s="10">
        <f>Breakout!B23</f>
        <v/>
      </c>
      <c r="C66" s="12">
        <f>Breakout!U23</f>
        <v/>
      </c>
    </row>
    <row r="67">
      <c r="A67" s="10">
        <f>Breakout!A24</f>
        <v/>
      </c>
      <c r="B67" s="10">
        <f>Breakout!B24</f>
        <v/>
      </c>
      <c r="C67" s="12">
        <f>Breakout!U24</f>
        <v/>
      </c>
    </row>
    <row r="68">
      <c r="A68" s="10">
        <f>Breakout!A25</f>
        <v/>
      </c>
      <c r="B68" s="10">
        <f>Breakout!B25</f>
        <v/>
      </c>
      <c r="C68" s="12">
        <f>Breakout!U25</f>
        <v/>
      </c>
    </row>
    <row r="69">
      <c r="A69" s="10">
        <f>Breakout!A26</f>
        <v/>
      </c>
      <c r="B69" s="10">
        <f>Breakout!B26</f>
        <v/>
      </c>
      <c r="C69" s="12">
        <f>Breakout!U26</f>
        <v/>
      </c>
    </row>
    <row r="70">
      <c r="A70" s="10">
        <f>Breakout!A27</f>
        <v/>
      </c>
      <c r="B70" s="10">
        <f>Breakout!B27</f>
        <v/>
      </c>
      <c r="C70" s="12">
        <f>Breakout!U27</f>
        <v/>
      </c>
    </row>
    <row r="72">
      <c r="A72" s="7" t="inlineStr">
        <is>
          <t>TOTAL BID (reconciled)</t>
        </is>
      </c>
      <c r="C72" s="8">
        <f>Markups!X33</f>
        <v/>
      </c>
      <c r="D72" s="48" t="n"/>
    </row>
  </sheetData>
  <mergeCells count="14">
    <mergeCell ref="A1:D1"/>
    <mergeCell ref="B5:D5"/>
    <mergeCell ref="A72:B72"/>
    <mergeCell ref="A34:D34"/>
    <mergeCell ref="A33:B33"/>
    <mergeCell ref="B8:D8"/>
    <mergeCell ref="B4:D4"/>
    <mergeCell ref="B9:D9"/>
    <mergeCell ref="A59:D59"/>
    <mergeCell ref="A2:D2"/>
    <mergeCell ref="A11:D11"/>
    <mergeCell ref="B7:D7"/>
    <mergeCell ref="B6:D6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zoomScale="10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" customWidth="1" min="4" max="4"/>
    <col width="8" customWidth="1" min="5" max="5"/>
    <col width="12" customWidth="1" min="6" max="6"/>
    <col width="8" customWidth="1" min="7" max="7"/>
    <col width="14" customWidth="1" min="8" max="8"/>
    <col width="14" customWidth="1" min="9" max="9"/>
    <col width="14" customWidth="1" min="10" max="10"/>
  </cols>
  <sheetData>
    <row r="1">
      <c r="A1" s="49" t="inlineStr">
        <is>
          <t>Scope Key</t>
        </is>
      </c>
      <c r="B1" s="49" t="inlineStr">
        <is>
          <t>Scope Label</t>
        </is>
      </c>
      <c r="C1" s="49" t="inlineStr">
        <is>
          <t>CSI Code</t>
        </is>
      </c>
      <c r="E1" s="49" t="inlineStr">
        <is>
          <t>UOM</t>
        </is>
      </c>
      <c r="F1" s="49" t="inlineStr">
        <is>
          <t>Source</t>
        </is>
      </c>
      <c r="G1" s="49" t="inlineStr">
        <is>
          <t>Yes/No</t>
        </is>
      </c>
      <c r="H1" s="49" t="inlineStr">
        <is>
          <t>Estimate Status</t>
        </is>
      </c>
      <c r="I1" s="49" t="inlineStr">
        <is>
          <t>Breakout Type</t>
        </is>
      </c>
      <c r="J1" s="49" t="inlineStr">
        <is>
          <t>Freight Method</t>
        </is>
      </c>
    </row>
    <row r="2">
      <c r="A2" t="inlineStr">
        <is>
          <t>accessories</t>
        </is>
      </c>
      <c r="B2" t="inlineStr">
        <is>
          <t>Toilet Accessories</t>
        </is>
      </c>
      <c r="C2" t="inlineStr">
        <is>
          <t>10 28 00</t>
        </is>
      </c>
      <c r="E2" t="inlineStr">
        <is>
          <t>EA</t>
        </is>
      </c>
      <c r="F2" t="inlineStr">
        <is>
          <t>Manual</t>
        </is>
      </c>
      <c r="G2" t="inlineStr">
        <is>
          <t>Yes</t>
        </is>
      </c>
      <c r="H2" t="inlineStr">
        <is>
          <t>Lead</t>
        </is>
      </c>
      <c r="I2" t="inlineStr">
        <is>
          <t>Building</t>
        </is>
      </c>
      <c r="J2" t="inlineStr">
        <is>
          <t>Proportional</t>
        </is>
      </c>
    </row>
    <row r="3">
      <c r="A3" t="inlineStr">
        <is>
          <t>partitions</t>
        </is>
      </c>
      <c r="B3" t="inlineStr">
        <is>
          <t>Toilet Compartments</t>
        </is>
      </c>
      <c r="C3" t="inlineStr">
        <is>
          <t>10 21 00</t>
        </is>
      </c>
      <c r="E3" t="inlineStr">
        <is>
          <t>LF</t>
        </is>
      </c>
      <c r="F3" t="inlineStr">
        <is>
          <t>Extracted</t>
        </is>
      </c>
      <c r="G3" t="inlineStr">
        <is>
          <t>No</t>
        </is>
      </c>
      <c r="H3" t="inlineStr">
        <is>
          <t>Estimating</t>
        </is>
      </c>
      <c r="I3" t="inlineStr">
        <is>
          <t>Phase</t>
        </is>
      </c>
      <c r="J3" t="inlineStr">
        <is>
          <t>Manual</t>
        </is>
      </c>
    </row>
    <row r="4">
      <c r="A4" t="inlineStr">
        <is>
          <t>fire_ext</t>
        </is>
      </c>
      <c r="B4" t="inlineStr">
        <is>
          <t>Fire Extinguisher Cabinets (FEC)</t>
        </is>
      </c>
      <c r="C4" t="inlineStr">
        <is>
          <t>10 44 00</t>
        </is>
      </c>
      <c r="E4" t="inlineStr">
        <is>
          <t>SF</t>
        </is>
      </c>
      <c r="F4" t="inlineStr">
        <is>
          <t>Quote</t>
        </is>
      </c>
      <c r="H4" t="inlineStr">
        <is>
          <t>Submitted</t>
        </is>
      </c>
      <c r="I4" t="inlineStr">
        <is>
          <t>Area</t>
        </is>
      </c>
    </row>
    <row r="5">
      <c r="A5" t="inlineStr">
        <is>
          <t>corner_guards</t>
        </is>
      </c>
      <c r="B5" t="inlineStr">
        <is>
          <t>Wall Protection</t>
        </is>
      </c>
      <c r="C5" t="inlineStr">
        <is>
          <t>10 26 00</t>
        </is>
      </c>
      <c r="E5" t="inlineStr">
        <is>
          <t>LS</t>
        </is>
      </c>
      <c r="F5" t="inlineStr">
        <is>
          <t>Takeoff</t>
        </is>
      </c>
      <c r="H5" t="inlineStr">
        <is>
          <t>Won</t>
        </is>
      </c>
      <c r="I5" t="inlineStr">
        <is>
          <t>Floor</t>
        </is>
      </c>
    </row>
    <row r="6">
      <c r="A6" t="inlineStr">
        <is>
          <t>appliances</t>
        </is>
      </c>
      <c r="B6" t="inlineStr">
        <is>
          <t>Appliances</t>
        </is>
      </c>
      <c r="C6" t="inlineStr">
        <is>
          <t>11 31 00</t>
        </is>
      </c>
      <c r="E6" t="inlineStr">
        <is>
          <t>PR</t>
        </is>
      </c>
      <c r="H6" t="inlineStr">
        <is>
          <t>Lost</t>
        </is>
      </c>
    </row>
    <row r="7">
      <c r="A7" t="inlineStr">
        <is>
          <t>lockers</t>
        </is>
      </c>
      <c r="B7" t="inlineStr">
        <is>
          <t>Lockers</t>
        </is>
      </c>
      <c r="C7" t="inlineStr">
        <is>
          <t>10 51 00</t>
        </is>
      </c>
      <c r="E7" t="inlineStr">
        <is>
          <t>SET</t>
        </is>
      </c>
      <c r="H7" t="inlineStr">
        <is>
          <t>No Bid</t>
        </is>
      </c>
    </row>
    <row r="8">
      <c r="A8" t="inlineStr">
        <is>
          <t>display_boards</t>
        </is>
      </c>
      <c r="B8" t="inlineStr">
        <is>
          <t>Visual Displays</t>
        </is>
      </c>
      <c r="C8" t="inlineStr">
        <is>
          <t>10 11 00</t>
        </is>
      </c>
      <c r="E8" t="inlineStr">
        <is>
          <t>HR</t>
        </is>
      </c>
    </row>
    <row r="9">
      <c r="A9" t="inlineStr">
        <is>
          <t>bike_racks</t>
        </is>
      </c>
      <c r="B9" t="inlineStr">
        <is>
          <t>Bike Racks</t>
        </is>
      </c>
      <c r="C9" t="inlineStr">
        <is>
          <t>10 73 00</t>
        </is>
      </c>
      <c r="E9" t="inlineStr">
        <is>
          <t>CY</t>
        </is>
      </c>
    </row>
    <row r="10">
      <c r="A10" t="inlineStr">
        <is>
          <t>wire_mesh</t>
        </is>
      </c>
      <c r="B10" t="inlineStr">
        <is>
          <t>Wire Mesh Partitions</t>
        </is>
      </c>
      <c r="C10" t="inlineStr">
        <is>
          <t>10 22 13</t>
        </is>
      </c>
    </row>
    <row r="11">
      <c r="A11" t="inlineStr">
        <is>
          <t>cubicle_curtains</t>
        </is>
      </c>
      <c r="B11" t="inlineStr">
        <is>
          <t>Cubicle Curtains</t>
        </is>
      </c>
      <c r="C11" t="inlineStr">
        <is>
          <t>12 48 00</t>
        </is>
      </c>
    </row>
    <row r="12">
      <c r="A12" t="inlineStr">
        <is>
          <t>med_equipment</t>
        </is>
      </c>
      <c r="B12" t="inlineStr">
        <is>
          <t>Medical Equipment</t>
        </is>
      </c>
      <c r="C12" t="inlineStr">
        <is>
          <t>11 71 00</t>
        </is>
      </c>
    </row>
    <row r="13">
      <c r="A13" t="inlineStr">
        <is>
          <t>expansion_joints</t>
        </is>
      </c>
      <c r="B13" t="inlineStr">
        <is>
          <t>Expansion Joints</t>
        </is>
      </c>
      <c r="C13" t="inlineStr">
        <is>
          <t>07 95 00</t>
        </is>
      </c>
    </row>
    <row r="14">
      <c r="A14" t="inlineStr">
        <is>
          <t>storage_units</t>
        </is>
      </c>
      <c r="B14" t="inlineStr">
        <is>
          <t>Shelving</t>
        </is>
      </c>
      <c r="C14" t="inlineStr">
        <is>
          <t>10 51 13</t>
        </is>
      </c>
    </row>
    <row r="15">
      <c r="A15" t="inlineStr">
        <is>
          <t>equipment</t>
        </is>
      </c>
      <c r="B15" t="inlineStr">
        <is>
          <t>Equipment</t>
        </is>
      </c>
      <c r="C15" t="inlineStr">
        <is>
          <t>11 00 00</t>
        </is>
      </c>
    </row>
    <row r="16">
      <c r="A16" t="inlineStr">
        <is>
          <t>entrance_mats</t>
        </is>
      </c>
      <c r="B16" t="inlineStr">
        <is>
          <t>Entrance Mats</t>
        </is>
      </c>
      <c r="C16" t="inlineStr">
        <is>
          <t>12 48 13</t>
        </is>
      </c>
    </row>
    <row r="17">
      <c r="A17" t="inlineStr">
        <is>
          <t>mailboxes</t>
        </is>
      </c>
      <c r="B17" t="inlineStr">
        <is>
          <t>Mailbox</t>
        </is>
      </c>
      <c r="C17" t="inlineStr">
        <is>
          <t>10 55 00</t>
        </is>
      </c>
    </row>
    <row r="18">
      <c r="A18" t="inlineStr">
        <is>
          <t>flagpoles</t>
        </is>
      </c>
      <c r="B18" t="inlineStr">
        <is>
          <t>Flagpole</t>
        </is>
      </c>
      <c r="C18" t="inlineStr">
        <is>
          <t>10 75 00</t>
        </is>
      </c>
    </row>
    <row r="19">
      <c r="A19" t="inlineStr">
        <is>
          <t>knox_box</t>
        </is>
      </c>
      <c r="B19" t="inlineStr">
        <is>
          <t>Knox Box</t>
        </is>
      </c>
      <c r="C19" t="inlineStr">
        <is>
          <t>08 71 13</t>
        </is>
      </c>
    </row>
    <row r="20">
      <c r="A20" t="inlineStr">
        <is>
          <t>site_furnishing</t>
        </is>
      </c>
      <c r="B20" t="inlineStr">
        <is>
          <t>Site Furnishing</t>
        </is>
      </c>
      <c r="C20" t="inlineStr">
        <is>
          <t>12 93 00</t>
        </is>
      </c>
    </row>
    <row r="21">
      <c r="A21" t="inlineStr">
        <is>
          <t>uncategorized</t>
        </is>
      </c>
      <c r="B21" t="inlineStr">
        <is>
          <t>Uncategorized / Other</t>
        </is>
      </c>
      <c r="C2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2026-08-25T07:14:28Z</dcterms:created>
  <dcterms:modified xsi:type="dcterms:W3CDTF">2026-08-25T07:14:28Z</dcterms:modified>
</cp:coreProperties>
</file>