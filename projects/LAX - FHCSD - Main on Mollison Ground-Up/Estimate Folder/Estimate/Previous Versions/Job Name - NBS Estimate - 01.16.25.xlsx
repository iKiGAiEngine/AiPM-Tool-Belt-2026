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Z:\NBS\Office\Estimating Shared\2025\0000_Standard Folders\Estimate Folder\Estimate\"/>
    </mc:Choice>
  </mc:AlternateContent>
  <xr:revisionPtr revIDLastSave="0" documentId="13_ncr:1_{1ECF9F92-8CF4-49AE-B76F-797894EF3C4C}" xr6:coauthVersionLast="47" xr6:coauthVersionMax="47" xr10:uidLastSave="{00000000-0000-0000-0000-000000000000}"/>
  <bookViews>
    <workbookView xWindow="-108" yWindow="-108" windowWidth="23256" windowHeight="12456" tabRatio="800" xr2:uid="{00000000-000D-0000-FFFF-FFFF00000000}"/>
  </bookViews>
  <sheets>
    <sheet name="summary sheet" sheetId="2" r:id="rId1"/>
    <sheet name="Toilet Accessories" sheetId="7" r:id="rId2"/>
    <sheet name="Toilet Compartments" sheetId="8" r:id="rId3"/>
    <sheet name="Bobrick Material Pricing 2025" sheetId="26" state="hidden" r:id="rId4"/>
    <sheet name="Bobrick Labor Factors" sheetId="27" state="hidden" r:id="rId5"/>
    <sheet name="Wall Protection" sheetId="24" r:id="rId6"/>
    <sheet name="Appliances" sheetId="18" r:id="rId7"/>
    <sheet name="Lockers" sheetId="10" r:id="rId8"/>
    <sheet name="Visual Displays" sheetId="25" r:id="rId9"/>
    <sheet name="FEC" sheetId="16" r:id="rId10"/>
    <sheet name="Bike Racks" sheetId="9" r:id="rId11"/>
    <sheet name="Wire Mesh Partitions" sheetId="23" r:id="rId12"/>
    <sheet name="Cubicle Curtains" sheetId="19" r:id="rId13"/>
    <sheet name="Med Equipment" sheetId="17" r:id="rId14"/>
    <sheet name="Est (9)" sheetId="20" r:id="rId15"/>
    <sheet name="Est (10)" sheetId="21" r:id="rId16"/>
    <sheet name="BUYOUT" sheetId="22" state="hidden" r:id="rId17"/>
  </sheets>
  <definedNames>
    <definedName name="new" localSheetId="6">'summary sheet'!#REF!</definedName>
    <definedName name="new" localSheetId="12">'summary sheet'!#REF!</definedName>
    <definedName name="new" localSheetId="15">'summary sheet'!#REF!</definedName>
    <definedName name="new" localSheetId="14">'summary sheet'!#REF!</definedName>
    <definedName name="new" localSheetId="9">'summary sheet'!#REF!</definedName>
    <definedName name="new" localSheetId="13">'summary sheet'!#REF!</definedName>
    <definedName name="new" localSheetId="8">'summary sheet'!#REF!</definedName>
    <definedName name="new" localSheetId="5">'summary sheet'!#REF!</definedName>
    <definedName name="new" localSheetId="11">'summary sheet'!#REF!</definedName>
    <definedName name="new">'summary sheet'!#REF!</definedName>
    <definedName name="_xlnm.Print_Area" localSheetId="0">'summary sheet'!$A$1:$B$9</definedName>
    <definedName name="_xlnm.Print_Area" localSheetId="1">'Toilet Accessories'!$A$1:$U$76</definedName>
    <definedName name="_xlnm.Print_Titles" localSheetId="6">Appliances!$1:$8</definedName>
    <definedName name="_xlnm.Print_Titles" localSheetId="10">'Bike Racks'!$1:$8</definedName>
    <definedName name="_xlnm.Print_Titles" localSheetId="12">'Cubicle Curtains'!$1:$8</definedName>
    <definedName name="_xlnm.Print_Titles" localSheetId="15">'Est (10)'!$1:$8</definedName>
    <definedName name="_xlnm.Print_Titles" localSheetId="14">'Est (9)'!$1:$8</definedName>
    <definedName name="_xlnm.Print_Titles" localSheetId="9">FEC!$1:$8</definedName>
    <definedName name="_xlnm.Print_Titles" localSheetId="7">Lockers!$1:$8</definedName>
    <definedName name="_xlnm.Print_Titles" localSheetId="13">'Med Equipment'!$1:$8</definedName>
    <definedName name="_xlnm.Print_Titles" localSheetId="1">'Toilet Accessories'!$1:$8</definedName>
    <definedName name="_xlnm.Print_Titles" localSheetId="2">'Toilet Compartments'!$1:$8</definedName>
    <definedName name="_xlnm.Print_Titles" localSheetId="8">'Visual Displays'!$1:$8</definedName>
    <definedName name="_xlnm.Print_Titles" localSheetId="5">'Wall Protection'!$1:$8</definedName>
    <definedName name="_xlnm.Print_Titles" localSheetId="11">'Wire Mesh Partitions'!$1:$8</definedName>
    <definedName name="SF_GROSS" localSheetId="6">'summary sheet'!#REF!</definedName>
    <definedName name="SF_GROSS" localSheetId="12">'summary sheet'!#REF!</definedName>
    <definedName name="SF_GROSS" localSheetId="15">'summary sheet'!#REF!</definedName>
    <definedName name="SF_GROSS" localSheetId="14">'summary sheet'!#REF!</definedName>
    <definedName name="SF_GROSS" localSheetId="9">'summary sheet'!#REF!</definedName>
    <definedName name="SF_GROSS" localSheetId="13">'summary sheet'!#REF!</definedName>
    <definedName name="SF_GROSS" localSheetId="8">'summary sheet'!#REF!</definedName>
    <definedName name="SF_GROSS" localSheetId="5">'summary sheet'!#REF!</definedName>
    <definedName name="SF_GROSS" localSheetId="11">'summary sheet'!#REF!</definedName>
    <definedName name="SF_GROSS">'summary sheet'!#REF!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0" i="7" l="1"/>
  <c r="Y10" i="7"/>
  <c r="Z10" i="7"/>
  <c r="X11" i="7"/>
  <c r="Y11" i="7"/>
  <c r="Z11" i="7"/>
  <c r="X12" i="7"/>
  <c r="Y12" i="7"/>
  <c r="Z12" i="7"/>
  <c r="X13" i="7"/>
  <c r="Y13" i="7"/>
  <c r="Z13" i="7"/>
  <c r="X14" i="7"/>
  <c r="Y14" i="7"/>
  <c r="Z14" i="7"/>
  <c r="X15" i="7"/>
  <c r="Y15" i="7"/>
  <c r="Z15" i="7"/>
  <c r="X16" i="7"/>
  <c r="Y16" i="7"/>
  <c r="Z16" i="7"/>
  <c r="X17" i="7"/>
  <c r="Y17" i="7"/>
  <c r="Z17" i="7"/>
  <c r="X18" i="7"/>
  <c r="Y18" i="7"/>
  <c r="Z18" i="7"/>
  <c r="X19" i="7"/>
  <c r="Y19" i="7"/>
  <c r="Z19" i="7"/>
  <c r="X20" i="7"/>
  <c r="Y20" i="7"/>
  <c r="Z20" i="7"/>
  <c r="X21" i="7"/>
  <c r="Y21" i="7"/>
  <c r="Z21" i="7"/>
  <c r="X22" i="7"/>
  <c r="Y22" i="7"/>
  <c r="Z22" i="7"/>
  <c r="X23" i="7"/>
  <c r="Y23" i="7"/>
  <c r="Z23" i="7"/>
  <c r="X24" i="7"/>
  <c r="Y24" i="7"/>
  <c r="Z24" i="7"/>
  <c r="X25" i="7"/>
  <c r="Y25" i="7"/>
  <c r="Z25" i="7"/>
  <c r="X26" i="7"/>
  <c r="Y26" i="7"/>
  <c r="Z26" i="7"/>
  <c r="X27" i="7"/>
  <c r="Y27" i="7"/>
  <c r="Z27" i="7"/>
  <c r="X28" i="7"/>
  <c r="Y28" i="7"/>
  <c r="Z28" i="7"/>
  <c r="X29" i="7"/>
  <c r="Y29" i="7"/>
  <c r="Z29" i="7"/>
  <c r="X30" i="7"/>
  <c r="Y30" i="7"/>
  <c r="Z30" i="7"/>
  <c r="X31" i="7"/>
  <c r="Y31" i="7"/>
  <c r="Z31" i="7"/>
  <c r="X32" i="7"/>
  <c r="Y32" i="7"/>
  <c r="Z32" i="7"/>
  <c r="X33" i="7"/>
  <c r="Y33" i="7"/>
  <c r="Z33" i="7"/>
  <c r="X34" i="7"/>
  <c r="Y34" i="7"/>
  <c r="Z34" i="7"/>
  <c r="X35" i="7"/>
  <c r="Y35" i="7"/>
  <c r="Z35" i="7"/>
  <c r="X36" i="7"/>
  <c r="Y36" i="7"/>
  <c r="Z36" i="7"/>
  <c r="X37" i="7"/>
  <c r="Y37" i="7"/>
  <c r="Z37" i="7"/>
  <c r="X38" i="7"/>
  <c r="Y38" i="7"/>
  <c r="Z38" i="7"/>
  <c r="X39" i="7"/>
  <c r="Y39" i="7"/>
  <c r="Z39" i="7"/>
  <c r="X40" i="7"/>
  <c r="Y40" i="7"/>
  <c r="Z40" i="7"/>
  <c r="X41" i="7"/>
  <c r="Y41" i="7"/>
  <c r="Z41" i="7"/>
  <c r="X42" i="7"/>
  <c r="Y42" i="7"/>
  <c r="Z42" i="7"/>
  <c r="X43" i="7"/>
  <c r="Y43" i="7"/>
  <c r="Z43" i="7"/>
  <c r="X44" i="7"/>
  <c r="Y44" i="7"/>
  <c r="Z44" i="7"/>
  <c r="X45" i="7"/>
  <c r="Y45" i="7"/>
  <c r="Z45" i="7"/>
  <c r="X46" i="7"/>
  <c r="Y46" i="7"/>
  <c r="Z46" i="7"/>
  <c r="X47" i="7"/>
  <c r="Y47" i="7"/>
  <c r="Z47" i="7"/>
  <c r="X48" i="7"/>
  <c r="Y48" i="7"/>
  <c r="Z48" i="7"/>
  <c r="X49" i="7"/>
  <c r="Y49" i="7"/>
  <c r="Z49" i="7"/>
  <c r="X50" i="7"/>
  <c r="Y50" i="7"/>
  <c r="Z50" i="7"/>
  <c r="X51" i="7"/>
  <c r="Y51" i="7"/>
  <c r="Z51" i="7"/>
  <c r="X52" i="7"/>
  <c r="Y52" i="7"/>
  <c r="Z52" i="7"/>
  <c r="X53" i="7"/>
  <c r="Y53" i="7"/>
  <c r="Z53" i="7"/>
  <c r="X54" i="7"/>
  <c r="Y54" i="7"/>
  <c r="Z54" i="7"/>
  <c r="X55" i="7"/>
  <c r="Y55" i="7"/>
  <c r="Z55" i="7"/>
  <c r="X56" i="7"/>
  <c r="Y56" i="7"/>
  <c r="Z56" i="7"/>
  <c r="X57" i="7"/>
  <c r="Y57" i="7"/>
  <c r="Z57" i="7"/>
  <c r="X58" i="7"/>
  <c r="Y58" i="7"/>
  <c r="Z58" i="7"/>
  <c r="X9" i="7"/>
  <c r="Z9" i="7"/>
  <c r="E106" i="8" l="1"/>
  <c r="E106" i="18"/>
  <c r="E106" i="10"/>
  <c r="E106" i="25"/>
  <c r="E106" i="16"/>
  <c r="E106" i="9"/>
  <c r="E106" i="23"/>
  <c r="E106" i="19"/>
  <c r="E106" i="17"/>
  <c r="E106" i="20"/>
  <c r="E106" i="21"/>
  <c r="Y9" i="7"/>
  <c r="E556" i="27"/>
  <c r="E555" i="27"/>
  <c r="E554" i="27"/>
  <c r="E553" i="27"/>
  <c r="E552" i="27"/>
  <c r="E551" i="27"/>
  <c r="E550" i="27"/>
  <c r="E549" i="27"/>
  <c r="E548" i="27"/>
  <c r="E547" i="27"/>
  <c r="E546" i="27"/>
  <c r="E545" i="27"/>
  <c r="E544" i="27"/>
  <c r="E543" i="27"/>
  <c r="E542" i="27"/>
  <c r="E541" i="27"/>
  <c r="E540" i="27"/>
  <c r="E539" i="27"/>
  <c r="E538" i="27"/>
  <c r="E537" i="27"/>
  <c r="E536" i="27"/>
  <c r="E535" i="27"/>
  <c r="E534" i="27"/>
  <c r="E533" i="27"/>
  <c r="E532" i="27"/>
  <c r="E531" i="27"/>
  <c r="E530" i="27"/>
  <c r="E529" i="27"/>
  <c r="E528" i="27"/>
  <c r="E527" i="27"/>
  <c r="E526" i="27"/>
  <c r="E525" i="27"/>
  <c r="E524" i="27"/>
  <c r="E523" i="27"/>
  <c r="E522" i="27"/>
  <c r="E521" i="27"/>
  <c r="E520" i="27"/>
  <c r="E519" i="27"/>
  <c r="E518" i="27"/>
  <c r="E517" i="27"/>
  <c r="E516" i="27"/>
  <c r="E515" i="27"/>
  <c r="E514" i="27"/>
  <c r="E513" i="27"/>
  <c r="E512" i="27"/>
  <c r="E511" i="27"/>
  <c r="E510" i="27"/>
  <c r="E509" i="27"/>
  <c r="E508" i="27"/>
  <c r="E507" i="27"/>
  <c r="E506" i="27"/>
  <c r="E505" i="27"/>
  <c r="E504" i="27"/>
  <c r="E503" i="27"/>
  <c r="E502" i="27"/>
  <c r="E501" i="27"/>
  <c r="E500" i="27"/>
  <c r="E499" i="27"/>
  <c r="E498" i="27"/>
  <c r="E497" i="27"/>
  <c r="E496" i="27"/>
  <c r="E495" i="27"/>
  <c r="E494" i="27"/>
  <c r="E493" i="27"/>
  <c r="E492" i="27"/>
  <c r="E491" i="27"/>
  <c r="E490" i="27"/>
  <c r="E489" i="27"/>
  <c r="E488" i="27"/>
  <c r="E487" i="27"/>
  <c r="E486" i="27"/>
  <c r="E485" i="27"/>
  <c r="E484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71" i="27"/>
  <c r="E470" i="27"/>
  <c r="E469" i="27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55" i="27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39" i="27"/>
  <c r="E438" i="27"/>
  <c r="E437" i="27"/>
  <c r="E436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22" i="27"/>
  <c r="E421" i="27"/>
  <c r="E420" i="27"/>
  <c r="E419" i="27"/>
  <c r="E418" i="27"/>
  <c r="E417" i="27"/>
  <c r="E416" i="27"/>
  <c r="E415" i="27"/>
  <c r="E414" i="27"/>
  <c r="E413" i="27"/>
  <c r="E412" i="27"/>
  <c r="E411" i="27"/>
  <c r="E410" i="27"/>
  <c r="E409" i="27"/>
  <c r="E408" i="27"/>
  <c r="E407" i="27"/>
  <c r="E406" i="27"/>
  <c r="E405" i="27"/>
  <c r="E404" i="27"/>
  <c r="E403" i="27"/>
  <c r="E402" i="27"/>
  <c r="E401" i="27"/>
  <c r="E400" i="27"/>
  <c r="E399" i="27"/>
  <c r="E398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80" i="27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67" i="27"/>
  <c r="E366" i="27"/>
  <c r="E365" i="27"/>
  <c r="E364" i="27"/>
  <c r="E363" i="27"/>
  <c r="E362" i="27"/>
  <c r="E361" i="27"/>
  <c r="E360" i="27"/>
  <c r="E359" i="27"/>
  <c r="E358" i="27"/>
  <c r="E357" i="27"/>
  <c r="E356" i="27"/>
  <c r="E355" i="27"/>
  <c r="E354" i="27"/>
  <c r="E353" i="27"/>
  <c r="E352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37" i="27"/>
  <c r="E336" i="27"/>
  <c r="E335" i="27"/>
  <c r="E334" i="27"/>
  <c r="E333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20" i="27"/>
  <c r="E319" i="27"/>
  <c r="E318" i="27"/>
  <c r="E317" i="27"/>
  <c r="E316" i="27"/>
  <c r="E315" i="27"/>
  <c r="E314" i="27"/>
  <c r="E313" i="27"/>
  <c r="E312" i="27"/>
  <c r="E311" i="27"/>
  <c r="E310" i="27"/>
  <c r="E309" i="27"/>
  <c r="E308" i="27"/>
  <c r="E307" i="27"/>
  <c r="E306" i="27"/>
  <c r="E305" i="27"/>
  <c r="E304" i="27"/>
  <c r="E303" i="27"/>
  <c r="E302" i="27"/>
  <c r="E301" i="27"/>
  <c r="E300" i="27"/>
  <c r="E299" i="27"/>
  <c r="E298" i="27"/>
  <c r="E297" i="27"/>
  <c r="E296" i="27"/>
  <c r="E295" i="27"/>
  <c r="E294" i="27"/>
  <c r="E293" i="27"/>
  <c r="E292" i="27"/>
  <c r="E291" i="27"/>
  <c r="E290" i="27"/>
  <c r="E289" i="27"/>
  <c r="E288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72" i="27"/>
  <c r="E271" i="27"/>
  <c r="E270" i="27"/>
  <c r="E269" i="27"/>
  <c r="E268" i="27"/>
  <c r="E267" i="27"/>
  <c r="E266" i="27"/>
  <c r="E265" i="27"/>
  <c r="E264" i="27"/>
  <c r="E263" i="27"/>
  <c r="E262" i="27"/>
  <c r="E261" i="27"/>
  <c r="E260" i="27"/>
  <c r="E259" i="27"/>
  <c r="E258" i="27"/>
  <c r="E257" i="27"/>
  <c r="E256" i="27"/>
  <c r="E255" i="27"/>
  <c r="E254" i="27"/>
  <c r="E253" i="27"/>
  <c r="E252" i="27"/>
  <c r="E251" i="27"/>
  <c r="E250" i="27"/>
  <c r="E249" i="27"/>
  <c r="E248" i="27"/>
  <c r="E247" i="27"/>
  <c r="E246" i="27"/>
  <c r="E245" i="27"/>
  <c r="E244" i="27"/>
  <c r="E243" i="27"/>
  <c r="E242" i="27"/>
  <c r="E241" i="27"/>
  <c r="E240" i="27"/>
  <c r="E239" i="27"/>
  <c r="E238" i="27"/>
  <c r="E237" i="27"/>
  <c r="E236" i="27"/>
  <c r="E235" i="27"/>
  <c r="E234" i="27"/>
  <c r="E233" i="27"/>
  <c r="E232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3" i="27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00" i="27"/>
  <c r="E199" i="27"/>
  <c r="E198" i="27"/>
  <c r="E197" i="27"/>
  <c r="E196" i="27"/>
  <c r="E195" i="27"/>
  <c r="E194" i="27"/>
  <c r="E193" i="27"/>
  <c r="E192" i="27"/>
  <c r="E191" i="27"/>
  <c r="E190" i="27"/>
  <c r="E189" i="27"/>
  <c r="E188" i="27"/>
  <c r="E187" i="27"/>
  <c r="E186" i="27"/>
  <c r="E185" i="27"/>
  <c r="E184" i="27"/>
  <c r="E183" i="27"/>
  <c r="E182" i="27"/>
  <c r="E181" i="27"/>
  <c r="E180" i="27"/>
  <c r="E179" i="27"/>
  <c r="E178" i="27"/>
  <c r="E177" i="27"/>
  <c r="E176" i="27"/>
  <c r="E175" i="27"/>
  <c r="E174" i="27"/>
  <c r="E173" i="27"/>
  <c r="E172" i="27"/>
  <c r="E171" i="27"/>
  <c r="E170" i="27"/>
  <c r="E169" i="27"/>
  <c r="E168" i="27"/>
  <c r="E167" i="27"/>
  <c r="E166" i="27"/>
  <c r="E165" i="27"/>
  <c r="E164" i="27"/>
  <c r="E163" i="27"/>
  <c r="E162" i="27"/>
  <c r="E161" i="27"/>
  <c r="E160" i="27"/>
  <c r="E159" i="27"/>
  <c r="E158" i="27"/>
  <c r="E157" i="27"/>
  <c r="E156" i="27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8" i="27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25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91" i="27"/>
  <c r="E90" i="27"/>
  <c r="E89" i="27"/>
  <c r="E88" i="27"/>
  <c r="E87" i="27"/>
  <c r="E86" i="27"/>
  <c r="E85" i="27"/>
  <c r="E84" i="27"/>
  <c r="E83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2" i="27"/>
  <c r="Q72" i="18"/>
  <c r="Q78" i="18"/>
  <c r="Q76" i="18"/>
  <c r="Q71" i="18"/>
  <c r="Q78" i="10"/>
  <c r="Q76" i="10"/>
  <c r="Q72" i="10"/>
  <c r="Q71" i="10"/>
  <c r="Q78" i="25"/>
  <c r="Q76" i="25"/>
  <c r="Q72" i="25"/>
  <c r="Q71" i="25"/>
  <c r="Q78" i="16"/>
  <c r="Q76" i="16"/>
  <c r="Q72" i="16"/>
  <c r="Q71" i="16"/>
  <c r="Q78" i="9"/>
  <c r="Q76" i="9"/>
  <c r="Q72" i="9"/>
  <c r="Q71" i="9"/>
  <c r="Q78" i="23"/>
  <c r="Q76" i="23"/>
  <c r="Q72" i="23"/>
  <c r="Q71" i="23"/>
  <c r="Q78" i="19"/>
  <c r="Q76" i="19"/>
  <c r="Q72" i="19"/>
  <c r="Q71" i="19"/>
  <c r="Q78" i="17"/>
  <c r="Q76" i="17"/>
  <c r="Q72" i="17"/>
  <c r="Q71" i="17"/>
  <c r="Q78" i="20"/>
  <c r="Q76" i="20"/>
  <c r="Q72" i="20"/>
  <c r="Q71" i="20"/>
  <c r="Q78" i="21"/>
  <c r="Q76" i="21"/>
  <c r="Q72" i="21"/>
  <c r="Q71" i="21"/>
  <c r="Q78" i="24"/>
  <c r="Q76" i="24"/>
  <c r="Q72" i="24"/>
  <c r="Q71" i="24"/>
  <c r="Q78" i="8"/>
  <c r="Q76" i="8"/>
  <c r="Q72" i="8"/>
  <c r="Q71" i="8"/>
  <c r="Q76" i="7"/>
  <c r="Q78" i="7"/>
  <c r="G3" i="2"/>
  <c r="G4" i="2" s="1"/>
  <c r="G5" i="2" s="1"/>
  <c r="G6" i="2" s="1"/>
  <c r="H3" i="2"/>
  <c r="H4" i="2" s="1"/>
  <c r="H5" i="2" s="1"/>
  <c r="H6" i="2" s="1"/>
  <c r="I9" i="7" l="1"/>
  <c r="I10" i="7"/>
  <c r="I11" i="7"/>
  <c r="I12" i="7"/>
  <c r="I13" i="7"/>
  <c r="I14" i="7"/>
  <c r="I15" i="7"/>
  <c r="Q67" i="7"/>
  <c r="R67" i="7" s="1"/>
  <c r="Q68" i="7"/>
  <c r="R68" i="7" s="1"/>
  <c r="Q71" i="7"/>
  <c r="Q72" i="7"/>
  <c r="Q67" i="24"/>
  <c r="Q68" i="24"/>
  <c r="R68" i="24" s="1"/>
  <c r="A3" i="24" a="1"/>
  <c r="A3" i="24" s="1"/>
  <c r="A3" i="18" a="1"/>
  <c r="A3" i="18" s="1"/>
  <c r="A3" i="10" a="1"/>
  <c r="A3" i="10" s="1"/>
  <c r="A3" i="25" a="1"/>
  <c r="A3" i="25" s="1"/>
  <c r="A3" i="16" a="1"/>
  <c r="A3" i="16" s="1"/>
  <c r="A3" i="9" a="1"/>
  <c r="A3" i="9" s="1"/>
  <c r="A3" i="23" a="1"/>
  <c r="A3" i="23" s="1"/>
  <c r="A3" i="19" a="1"/>
  <c r="A3" i="19" s="1"/>
  <c r="A3" i="17" a="1"/>
  <c r="A3" i="17" s="1"/>
  <c r="A3" i="20" a="1"/>
  <c r="A3" i="20" s="1"/>
  <c r="J23" i="2" s="1"/>
  <c r="A3" i="21" a="1"/>
  <c r="A3" i="21" s="1"/>
  <c r="J24" i="2" s="1"/>
  <c r="A3" i="8" a="1"/>
  <c r="A3" i="8" s="1"/>
  <c r="A3" i="7" a="1"/>
  <c r="A3" i="7" s="1"/>
  <c r="J12" i="2" s="1"/>
  <c r="C48" i="2"/>
  <c r="I9" i="8"/>
  <c r="I10" i="8"/>
  <c r="I11" i="8"/>
  <c r="I12" i="8"/>
  <c r="I13" i="8"/>
  <c r="I14" i="8"/>
  <c r="I15" i="8"/>
  <c r="I16" i="8"/>
  <c r="V10" i="7" l="1"/>
  <c r="W10" i="7"/>
  <c r="V11" i="7"/>
  <c r="W11" i="7"/>
  <c r="V12" i="7"/>
  <c r="W12" i="7"/>
  <c r="V13" i="7"/>
  <c r="W13" i="7"/>
  <c r="V14" i="7"/>
  <c r="W14" i="7"/>
  <c r="V15" i="7"/>
  <c r="W15" i="7"/>
  <c r="V16" i="7"/>
  <c r="V17" i="7"/>
  <c r="W17" i="7"/>
  <c r="V18" i="7"/>
  <c r="W18" i="7"/>
  <c r="V19" i="7"/>
  <c r="W19" i="7"/>
  <c r="V20" i="7"/>
  <c r="W20" i="7"/>
  <c r="V21" i="7"/>
  <c r="W21" i="7"/>
  <c r="V22" i="7"/>
  <c r="W22" i="7"/>
  <c r="V23" i="7"/>
  <c r="W23" i="7"/>
  <c r="V24" i="7"/>
  <c r="W24" i="7"/>
  <c r="V25" i="7"/>
  <c r="W25" i="7"/>
  <c r="V26" i="7"/>
  <c r="W26" i="7"/>
  <c r="V27" i="7"/>
  <c r="W27" i="7"/>
  <c r="V28" i="7"/>
  <c r="W28" i="7"/>
  <c r="V29" i="7"/>
  <c r="W29" i="7"/>
  <c r="V30" i="7"/>
  <c r="W30" i="7"/>
  <c r="V31" i="7"/>
  <c r="W31" i="7"/>
  <c r="V32" i="7"/>
  <c r="W32" i="7"/>
  <c r="V33" i="7"/>
  <c r="W33" i="7"/>
  <c r="V34" i="7"/>
  <c r="W34" i="7"/>
  <c r="V35" i="7"/>
  <c r="W35" i="7"/>
  <c r="V36" i="7"/>
  <c r="W36" i="7"/>
  <c r="V37" i="7"/>
  <c r="W37" i="7"/>
  <c r="V38" i="7"/>
  <c r="W38" i="7"/>
  <c r="V39" i="7"/>
  <c r="W39" i="7"/>
  <c r="V40" i="7"/>
  <c r="W40" i="7"/>
  <c r="V41" i="7"/>
  <c r="W41" i="7"/>
  <c r="V42" i="7"/>
  <c r="W42" i="7"/>
  <c r="V43" i="7"/>
  <c r="W43" i="7"/>
  <c r="V44" i="7"/>
  <c r="W44" i="7"/>
  <c r="V45" i="7"/>
  <c r="W45" i="7"/>
  <c r="V46" i="7"/>
  <c r="W46" i="7"/>
  <c r="V47" i="7"/>
  <c r="W47" i="7"/>
  <c r="V48" i="7"/>
  <c r="W48" i="7"/>
  <c r="V49" i="7"/>
  <c r="W49" i="7"/>
  <c r="V50" i="7"/>
  <c r="W50" i="7"/>
  <c r="V51" i="7"/>
  <c r="W51" i="7"/>
  <c r="V52" i="7"/>
  <c r="W52" i="7"/>
  <c r="V53" i="7"/>
  <c r="W53" i="7"/>
  <c r="V54" i="7"/>
  <c r="W54" i="7"/>
  <c r="V55" i="7"/>
  <c r="W55" i="7"/>
  <c r="V56" i="7"/>
  <c r="W56" i="7"/>
  <c r="V57" i="7"/>
  <c r="W57" i="7"/>
  <c r="V58" i="7"/>
  <c r="W58" i="7"/>
  <c r="W16" i="7" l="1"/>
  <c r="W9" i="7" l="1"/>
  <c r="V9" i="7"/>
  <c r="Q46" i="21" l="1"/>
  <c r="P46" i="21"/>
  <c r="O46" i="21"/>
  <c r="I46" i="21"/>
  <c r="J46" i="21" s="1"/>
  <c r="N46" i="21" s="1"/>
  <c r="Q45" i="21"/>
  <c r="P45" i="21"/>
  <c r="O45" i="21"/>
  <c r="I45" i="21"/>
  <c r="J45" i="21" s="1"/>
  <c r="N45" i="21" s="1"/>
  <c r="Q44" i="21"/>
  <c r="P44" i="21"/>
  <c r="O44" i="21"/>
  <c r="I44" i="21"/>
  <c r="J44" i="21" s="1"/>
  <c r="N44" i="21" s="1"/>
  <c r="Q43" i="21"/>
  <c r="P43" i="21"/>
  <c r="O43" i="21"/>
  <c r="I43" i="21"/>
  <c r="J43" i="21" s="1"/>
  <c r="N43" i="21" s="1"/>
  <c r="Q42" i="21"/>
  <c r="P42" i="21"/>
  <c r="O42" i="21"/>
  <c r="I42" i="21"/>
  <c r="J42" i="21" s="1"/>
  <c r="N42" i="21" s="1"/>
  <c r="Q41" i="21"/>
  <c r="P41" i="21"/>
  <c r="O41" i="21"/>
  <c r="I41" i="21"/>
  <c r="J41" i="21" s="1"/>
  <c r="N41" i="21" s="1"/>
  <c r="Q40" i="21"/>
  <c r="P40" i="21"/>
  <c r="O40" i="21"/>
  <c r="I40" i="21"/>
  <c r="J40" i="21" s="1"/>
  <c r="N40" i="21" s="1"/>
  <c r="Q39" i="21"/>
  <c r="P39" i="21"/>
  <c r="O39" i="21"/>
  <c r="I39" i="21"/>
  <c r="J39" i="21" s="1"/>
  <c r="N39" i="21" s="1"/>
  <c r="Q38" i="21"/>
  <c r="P38" i="21"/>
  <c r="O38" i="21"/>
  <c r="I38" i="21"/>
  <c r="J38" i="21" s="1"/>
  <c r="N38" i="21" s="1"/>
  <c r="Q37" i="21"/>
  <c r="P37" i="21"/>
  <c r="O37" i="21"/>
  <c r="I37" i="21"/>
  <c r="J37" i="21" s="1"/>
  <c r="N37" i="21" s="1"/>
  <c r="Q36" i="21"/>
  <c r="P36" i="21"/>
  <c r="O36" i="21"/>
  <c r="I36" i="21"/>
  <c r="J36" i="21" s="1"/>
  <c r="N36" i="21" s="1"/>
  <c r="Q35" i="21"/>
  <c r="P35" i="21"/>
  <c r="O35" i="21"/>
  <c r="I35" i="21"/>
  <c r="J35" i="21" s="1"/>
  <c r="N35" i="21" s="1"/>
  <c r="Q34" i="21"/>
  <c r="P34" i="21"/>
  <c r="O34" i="21"/>
  <c r="I34" i="21"/>
  <c r="J34" i="21" s="1"/>
  <c r="N34" i="21" s="1"/>
  <c r="Q33" i="21"/>
  <c r="P33" i="21"/>
  <c r="O33" i="21"/>
  <c r="I33" i="21"/>
  <c r="J33" i="21" s="1"/>
  <c r="N33" i="21" s="1"/>
  <c r="Q32" i="21"/>
  <c r="P32" i="21"/>
  <c r="O32" i="21"/>
  <c r="I32" i="21"/>
  <c r="J32" i="21" s="1"/>
  <c r="N32" i="21" s="1"/>
  <c r="Q31" i="21"/>
  <c r="P31" i="21"/>
  <c r="O31" i="21"/>
  <c r="I31" i="21"/>
  <c r="J31" i="21" s="1"/>
  <c r="N31" i="21" s="1"/>
  <c r="Q30" i="21"/>
  <c r="P30" i="21"/>
  <c r="O30" i="21"/>
  <c r="I30" i="21"/>
  <c r="J30" i="21" s="1"/>
  <c r="N30" i="21" s="1"/>
  <c r="Q29" i="21"/>
  <c r="P29" i="21"/>
  <c r="O29" i="21"/>
  <c r="I29" i="21"/>
  <c r="J29" i="21" s="1"/>
  <c r="N29" i="21" s="1"/>
  <c r="Q28" i="21"/>
  <c r="P28" i="21"/>
  <c r="O28" i="21"/>
  <c r="I28" i="21"/>
  <c r="J28" i="21" s="1"/>
  <c r="N28" i="21" s="1"/>
  <c r="Q27" i="21"/>
  <c r="P27" i="21"/>
  <c r="O27" i="21"/>
  <c r="I27" i="21"/>
  <c r="J27" i="21" s="1"/>
  <c r="N27" i="21" s="1"/>
  <c r="Q26" i="21"/>
  <c r="P26" i="21"/>
  <c r="O26" i="21"/>
  <c r="I26" i="21"/>
  <c r="J26" i="21" s="1"/>
  <c r="N26" i="21" s="1"/>
  <c r="Q25" i="21"/>
  <c r="P25" i="21"/>
  <c r="O25" i="21"/>
  <c r="I25" i="21"/>
  <c r="J25" i="21" s="1"/>
  <c r="N25" i="21" s="1"/>
  <c r="Q24" i="21"/>
  <c r="P24" i="21"/>
  <c r="O24" i="21"/>
  <c r="I24" i="21"/>
  <c r="J24" i="21" s="1"/>
  <c r="N24" i="21" s="1"/>
  <c r="Q23" i="21"/>
  <c r="P23" i="21"/>
  <c r="O23" i="21"/>
  <c r="I23" i="21"/>
  <c r="J23" i="21" s="1"/>
  <c r="N23" i="21" s="1"/>
  <c r="Q22" i="21"/>
  <c r="P22" i="21"/>
  <c r="O22" i="21"/>
  <c r="I22" i="21"/>
  <c r="J22" i="21" s="1"/>
  <c r="N22" i="21" s="1"/>
  <c r="Q21" i="21"/>
  <c r="P21" i="21"/>
  <c r="O21" i="21"/>
  <c r="I21" i="21"/>
  <c r="J21" i="21" s="1"/>
  <c r="N21" i="21" s="1"/>
  <c r="Q20" i="21"/>
  <c r="P20" i="21"/>
  <c r="O20" i="21"/>
  <c r="I20" i="21"/>
  <c r="J20" i="21" s="1"/>
  <c r="N20" i="21" s="1"/>
  <c r="Q19" i="21"/>
  <c r="P19" i="21"/>
  <c r="O19" i="21"/>
  <c r="I19" i="21"/>
  <c r="J19" i="21" s="1"/>
  <c r="N19" i="21" s="1"/>
  <c r="Q18" i="21"/>
  <c r="P18" i="21"/>
  <c r="O18" i="21"/>
  <c r="I18" i="21"/>
  <c r="J18" i="21" s="1"/>
  <c r="N18" i="21" s="1"/>
  <c r="Q17" i="21"/>
  <c r="P17" i="21"/>
  <c r="O17" i="21"/>
  <c r="I17" i="21"/>
  <c r="J17" i="21" s="1"/>
  <c r="N17" i="21" s="1"/>
  <c r="Q45" i="20"/>
  <c r="P45" i="20"/>
  <c r="O45" i="20"/>
  <c r="I45" i="20"/>
  <c r="J45" i="20" s="1"/>
  <c r="N45" i="20" s="1"/>
  <c r="Q44" i="20"/>
  <c r="P44" i="20"/>
  <c r="O44" i="20"/>
  <c r="I44" i="20"/>
  <c r="J44" i="20" s="1"/>
  <c r="N44" i="20" s="1"/>
  <c r="Q43" i="20"/>
  <c r="P43" i="20"/>
  <c r="O43" i="20"/>
  <c r="I43" i="20"/>
  <c r="J43" i="20" s="1"/>
  <c r="N43" i="20" s="1"/>
  <c r="Q42" i="20"/>
  <c r="P42" i="20"/>
  <c r="O42" i="20"/>
  <c r="I42" i="20"/>
  <c r="J42" i="20" s="1"/>
  <c r="N42" i="20" s="1"/>
  <c r="Q41" i="20"/>
  <c r="P41" i="20"/>
  <c r="O41" i="20"/>
  <c r="I41" i="20"/>
  <c r="J41" i="20" s="1"/>
  <c r="N41" i="20" s="1"/>
  <c r="Q40" i="20"/>
  <c r="P40" i="20"/>
  <c r="O40" i="20"/>
  <c r="I40" i="20"/>
  <c r="J40" i="20" s="1"/>
  <c r="N40" i="20" s="1"/>
  <c r="Q39" i="20"/>
  <c r="P39" i="20"/>
  <c r="O39" i="20"/>
  <c r="I39" i="20"/>
  <c r="J39" i="20" s="1"/>
  <c r="N39" i="20" s="1"/>
  <c r="Q38" i="20"/>
  <c r="P38" i="20"/>
  <c r="O38" i="20"/>
  <c r="I38" i="20"/>
  <c r="J38" i="20" s="1"/>
  <c r="N38" i="20" s="1"/>
  <c r="Q37" i="20"/>
  <c r="P37" i="20"/>
  <c r="O37" i="20"/>
  <c r="I37" i="20"/>
  <c r="J37" i="20" s="1"/>
  <c r="N37" i="20" s="1"/>
  <c r="Q36" i="20"/>
  <c r="P36" i="20"/>
  <c r="O36" i="20"/>
  <c r="I36" i="20"/>
  <c r="J36" i="20" s="1"/>
  <c r="N36" i="20" s="1"/>
  <c r="Q35" i="20"/>
  <c r="P35" i="20"/>
  <c r="O35" i="20"/>
  <c r="I35" i="20"/>
  <c r="J35" i="20" s="1"/>
  <c r="N35" i="20" s="1"/>
  <c r="Q34" i="20"/>
  <c r="P34" i="20"/>
  <c r="O34" i="20"/>
  <c r="I34" i="20"/>
  <c r="J34" i="20" s="1"/>
  <c r="N34" i="20" s="1"/>
  <c r="Q33" i="20"/>
  <c r="P33" i="20"/>
  <c r="O33" i="20"/>
  <c r="I33" i="20"/>
  <c r="J33" i="20" s="1"/>
  <c r="N33" i="20" s="1"/>
  <c r="Q32" i="20"/>
  <c r="P32" i="20"/>
  <c r="O32" i="20"/>
  <c r="I32" i="20"/>
  <c r="J32" i="20" s="1"/>
  <c r="N32" i="20" s="1"/>
  <c r="Q31" i="20"/>
  <c r="P31" i="20"/>
  <c r="O31" i="20"/>
  <c r="I31" i="20"/>
  <c r="J31" i="20" s="1"/>
  <c r="N31" i="20" s="1"/>
  <c r="Q30" i="20"/>
  <c r="P30" i="20"/>
  <c r="O30" i="20"/>
  <c r="I30" i="20"/>
  <c r="J30" i="20" s="1"/>
  <c r="N30" i="20" s="1"/>
  <c r="Q29" i="20"/>
  <c r="P29" i="20"/>
  <c r="O29" i="20"/>
  <c r="I29" i="20"/>
  <c r="J29" i="20" s="1"/>
  <c r="N29" i="20" s="1"/>
  <c r="Q28" i="20"/>
  <c r="P28" i="20"/>
  <c r="O28" i="20"/>
  <c r="I28" i="20"/>
  <c r="J28" i="20" s="1"/>
  <c r="N28" i="20" s="1"/>
  <c r="Q27" i="20"/>
  <c r="P27" i="20"/>
  <c r="O27" i="20"/>
  <c r="I27" i="20"/>
  <c r="J27" i="20" s="1"/>
  <c r="N27" i="20" s="1"/>
  <c r="Q26" i="20"/>
  <c r="P26" i="20"/>
  <c r="O26" i="20"/>
  <c r="I26" i="20"/>
  <c r="J26" i="20" s="1"/>
  <c r="N26" i="20" s="1"/>
  <c r="Q25" i="20"/>
  <c r="P25" i="20"/>
  <c r="O25" i="20"/>
  <c r="I25" i="20"/>
  <c r="J25" i="20" s="1"/>
  <c r="N25" i="20" s="1"/>
  <c r="Q24" i="20"/>
  <c r="P24" i="20"/>
  <c r="O24" i="20"/>
  <c r="I24" i="20"/>
  <c r="J24" i="20" s="1"/>
  <c r="N24" i="20" s="1"/>
  <c r="Q23" i="20"/>
  <c r="P23" i="20"/>
  <c r="O23" i="20"/>
  <c r="I23" i="20"/>
  <c r="J23" i="20" s="1"/>
  <c r="N23" i="20" s="1"/>
  <c r="Q22" i="20"/>
  <c r="P22" i="20"/>
  <c r="O22" i="20"/>
  <c r="I22" i="20"/>
  <c r="J22" i="20" s="1"/>
  <c r="N22" i="20" s="1"/>
  <c r="Q21" i="20"/>
  <c r="P21" i="20"/>
  <c r="O21" i="20"/>
  <c r="I21" i="20"/>
  <c r="J21" i="20" s="1"/>
  <c r="N21" i="20" s="1"/>
  <c r="Q20" i="20"/>
  <c r="P20" i="20"/>
  <c r="O20" i="20"/>
  <c r="I20" i="20"/>
  <c r="J20" i="20" s="1"/>
  <c r="N20" i="20" s="1"/>
  <c r="Q19" i="20"/>
  <c r="P19" i="20"/>
  <c r="O19" i="20"/>
  <c r="I19" i="20"/>
  <c r="J19" i="20" s="1"/>
  <c r="N19" i="20" s="1"/>
  <c r="Q18" i="20"/>
  <c r="P18" i="20"/>
  <c r="O18" i="20"/>
  <c r="I18" i="20"/>
  <c r="J18" i="20" s="1"/>
  <c r="N18" i="20" s="1"/>
  <c r="Q17" i="20"/>
  <c r="P17" i="20"/>
  <c r="O17" i="20"/>
  <c r="I17" i="20"/>
  <c r="J17" i="20" s="1"/>
  <c r="N17" i="20" s="1"/>
  <c r="Q16" i="20"/>
  <c r="P16" i="20"/>
  <c r="O16" i="20"/>
  <c r="I16" i="20"/>
  <c r="J16" i="20" s="1"/>
  <c r="N16" i="20" s="1"/>
  <c r="Q41" i="17"/>
  <c r="P41" i="17"/>
  <c r="O41" i="17"/>
  <c r="I41" i="17"/>
  <c r="J41" i="17" s="1"/>
  <c r="N41" i="17" s="1"/>
  <c r="Q40" i="17"/>
  <c r="P40" i="17"/>
  <c r="O40" i="17"/>
  <c r="I40" i="17"/>
  <c r="J40" i="17" s="1"/>
  <c r="N40" i="17" s="1"/>
  <c r="Q39" i="17"/>
  <c r="P39" i="17"/>
  <c r="O39" i="17"/>
  <c r="I39" i="17"/>
  <c r="J39" i="17" s="1"/>
  <c r="N39" i="17" s="1"/>
  <c r="Q38" i="17"/>
  <c r="P38" i="17"/>
  <c r="O38" i="17"/>
  <c r="I38" i="17"/>
  <c r="J38" i="17" s="1"/>
  <c r="N38" i="17" s="1"/>
  <c r="Q37" i="17"/>
  <c r="P37" i="17"/>
  <c r="O37" i="17"/>
  <c r="I37" i="17"/>
  <c r="J37" i="17" s="1"/>
  <c r="N37" i="17" s="1"/>
  <c r="Q36" i="17"/>
  <c r="P36" i="17"/>
  <c r="O36" i="17"/>
  <c r="I36" i="17"/>
  <c r="J36" i="17" s="1"/>
  <c r="N36" i="17" s="1"/>
  <c r="Q35" i="17"/>
  <c r="P35" i="17"/>
  <c r="O35" i="17"/>
  <c r="I35" i="17"/>
  <c r="J35" i="17" s="1"/>
  <c r="N35" i="17" s="1"/>
  <c r="Q34" i="17"/>
  <c r="P34" i="17"/>
  <c r="O34" i="17"/>
  <c r="I34" i="17"/>
  <c r="J34" i="17" s="1"/>
  <c r="N34" i="17" s="1"/>
  <c r="Q33" i="17"/>
  <c r="P33" i="17"/>
  <c r="O33" i="17"/>
  <c r="I33" i="17"/>
  <c r="J33" i="17" s="1"/>
  <c r="N33" i="17" s="1"/>
  <c r="Q32" i="17"/>
  <c r="P32" i="17"/>
  <c r="O32" i="17"/>
  <c r="I32" i="17"/>
  <c r="J32" i="17" s="1"/>
  <c r="N32" i="17" s="1"/>
  <c r="Q31" i="17"/>
  <c r="P31" i="17"/>
  <c r="O31" i="17"/>
  <c r="I31" i="17"/>
  <c r="J31" i="17" s="1"/>
  <c r="N31" i="17" s="1"/>
  <c r="Q30" i="17"/>
  <c r="P30" i="17"/>
  <c r="O30" i="17"/>
  <c r="I30" i="17"/>
  <c r="J30" i="17" s="1"/>
  <c r="N30" i="17" s="1"/>
  <c r="Q29" i="17"/>
  <c r="P29" i="17"/>
  <c r="O29" i="17"/>
  <c r="I29" i="17"/>
  <c r="J29" i="17" s="1"/>
  <c r="N29" i="17" s="1"/>
  <c r="Q28" i="17"/>
  <c r="P28" i="17"/>
  <c r="O28" i="17"/>
  <c r="I28" i="17"/>
  <c r="J28" i="17" s="1"/>
  <c r="N28" i="17" s="1"/>
  <c r="Q27" i="17"/>
  <c r="P27" i="17"/>
  <c r="O27" i="17"/>
  <c r="I27" i="17"/>
  <c r="J27" i="17" s="1"/>
  <c r="N27" i="17" s="1"/>
  <c r="Q26" i="17"/>
  <c r="P26" i="17"/>
  <c r="O26" i="17"/>
  <c r="I26" i="17"/>
  <c r="J26" i="17" s="1"/>
  <c r="N26" i="17" s="1"/>
  <c r="Q25" i="17"/>
  <c r="P25" i="17"/>
  <c r="O25" i="17"/>
  <c r="I25" i="17"/>
  <c r="J25" i="17" s="1"/>
  <c r="N25" i="17" s="1"/>
  <c r="Q24" i="17"/>
  <c r="P24" i="17"/>
  <c r="O24" i="17"/>
  <c r="I24" i="17"/>
  <c r="J24" i="17" s="1"/>
  <c r="N24" i="17" s="1"/>
  <c r="Q23" i="17"/>
  <c r="P23" i="17"/>
  <c r="O23" i="17"/>
  <c r="I23" i="17"/>
  <c r="J23" i="17" s="1"/>
  <c r="N23" i="17" s="1"/>
  <c r="Q22" i="17"/>
  <c r="P22" i="17"/>
  <c r="O22" i="17"/>
  <c r="I22" i="17"/>
  <c r="J22" i="17" s="1"/>
  <c r="N22" i="17" s="1"/>
  <c r="Q21" i="17"/>
  <c r="P21" i="17"/>
  <c r="O21" i="17"/>
  <c r="I21" i="17"/>
  <c r="J21" i="17" s="1"/>
  <c r="N21" i="17" s="1"/>
  <c r="Q20" i="17"/>
  <c r="P20" i="17"/>
  <c r="O20" i="17"/>
  <c r="I20" i="17"/>
  <c r="J20" i="17" s="1"/>
  <c r="N20" i="17" s="1"/>
  <c r="Q19" i="17"/>
  <c r="P19" i="17"/>
  <c r="O19" i="17"/>
  <c r="I19" i="17"/>
  <c r="J19" i="17" s="1"/>
  <c r="N19" i="17" s="1"/>
  <c r="Q18" i="17"/>
  <c r="P18" i="17"/>
  <c r="O18" i="17"/>
  <c r="I18" i="17"/>
  <c r="J18" i="17" s="1"/>
  <c r="N18" i="17" s="1"/>
  <c r="Q17" i="17"/>
  <c r="P17" i="17"/>
  <c r="O17" i="17"/>
  <c r="I17" i="17"/>
  <c r="J17" i="17" s="1"/>
  <c r="N17" i="17" s="1"/>
  <c r="Q16" i="17"/>
  <c r="P16" i="17"/>
  <c r="O16" i="17"/>
  <c r="I16" i="17"/>
  <c r="J16" i="17" s="1"/>
  <c r="N16" i="17" s="1"/>
  <c r="Q15" i="17"/>
  <c r="P15" i="17"/>
  <c r="O15" i="17"/>
  <c r="I15" i="17"/>
  <c r="J15" i="17" s="1"/>
  <c r="N15" i="17" s="1"/>
  <c r="Q14" i="17"/>
  <c r="P14" i="17"/>
  <c r="O14" i="17"/>
  <c r="I14" i="17"/>
  <c r="J14" i="17" s="1"/>
  <c r="N14" i="17" s="1"/>
  <c r="Q13" i="17"/>
  <c r="P13" i="17"/>
  <c r="O13" i="17"/>
  <c r="I13" i="17"/>
  <c r="J13" i="17" s="1"/>
  <c r="N13" i="17" s="1"/>
  <c r="Q12" i="17"/>
  <c r="P12" i="17"/>
  <c r="O12" i="17"/>
  <c r="I12" i="17"/>
  <c r="J12" i="17" s="1"/>
  <c r="N12" i="17" s="1"/>
  <c r="Q45" i="19"/>
  <c r="P45" i="19"/>
  <c r="O45" i="19"/>
  <c r="I45" i="19"/>
  <c r="J45" i="19" s="1"/>
  <c r="N45" i="19" s="1"/>
  <c r="Q44" i="19"/>
  <c r="P44" i="19"/>
  <c r="O44" i="19"/>
  <c r="I44" i="19"/>
  <c r="J44" i="19" s="1"/>
  <c r="N44" i="19" s="1"/>
  <c r="Q43" i="19"/>
  <c r="P43" i="19"/>
  <c r="O43" i="19"/>
  <c r="I43" i="19"/>
  <c r="J43" i="19" s="1"/>
  <c r="N43" i="19" s="1"/>
  <c r="Q42" i="19"/>
  <c r="P42" i="19"/>
  <c r="O42" i="19"/>
  <c r="I42" i="19"/>
  <c r="J42" i="19" s="1"/>
  <c r="N42" i="19" s="1"/>
  <c r="Q41" i="19"/>
  <c r="P41" i="19"/>
  <c r="O41" i="19"/>
  <c r="I41" i="19"/>
  <c r="J41" i="19" s="1"/>
  <c r="N41" i="19" s="1"/>
  <c r="Q40" i="19"/>
  <c r="P40" i="19"/>
  <c r="O40" i="19"/>
  <c r="I40" i="19"/>
  <c r="J40" i="19" s="1"/>
  <c r="N40" i="19" s="1"/>
  <c r="Q39" i="19"/>
  <c r="P39" i="19"/>
  <c r="O39" i="19"/>
  <c r="I39" i="19"/>
  <c r="J39" i="19" s="1"/>
  <c r="N39" i="19" s="1"/>
  <c r="Q38" i="19"/>
  <c r="P38" i="19"/>
  <c r="O38" i="19"/>
  <c r="I38" i="19"/>
  <c r="J38" i="19" s="1"/>
  <c r="N38" i="19" s="1"/>
  <c r="Q37" i="19"/>
  <c r="P37" i="19"/>
  <c r="O37" i="19"/>
  <c r="I37" i="19"/>
  <c r="J37" i="19" s="1"/>
  <c r="N37" i="19" s="1"/>
  <c r="Q36" i="19"/>
  <c r="P36" i="19"/>
  <c r="O36" i="19"/>
  <c r="I36" i="19"/>
  <c r="J36" i="19" s="1"/>
  <c r="N36" i="19" s="1"/>
  <c r="Q35" i="19"/>
  <c r="P35" i="19"/>
  <c r="O35" i="19"/>
  <c r="I35" i="19"/>
  <c r="J35" i="19" s="1"/>
  <c r="N35" i="19" s="1"/>
  <c r="Q34" i="19"/>
  <c r="P34" i="19"/>
  <c r="O34" i="19"/>
  <c r="I34" i="19"/>
  <c r="J34" i="19" s="1"/>
  <c r="N34" i="19" s="1"/>
  <c r="Q33" i="19"/>
  <c r="P33" i="19"/>
  <c r="O33" i="19"/>
  <c r="I33" i="19"/>
  <c r="J33" i="19" s="1"/>
  <c r="N33" i="19" s="1"/>
  <c r="Q32" i="19"/>
  <c r="P32" i="19"/>
  <c r="O32" i="19"/>
  <c r="I32" i="19"/>
  <c r="J32" i="19" s="1"/>
  <c r="N32" i="19" s="1"/>
  <c r="Q31" i="19"/>
  <c r="P31" i="19"/>
  <c r="O31" i="19"/>
  <c r="I31" i="19"/>
  <c r="J31" i="19" s="1"/>
  <c r="N31" i="19" s="1"/>
  <c r="Q30" i="19"/>
  <c r="P30" i="19"/>
  <c r="O30" i="19"/>
  <c r="I30" i="19"/>
  <c r="J30" i="19" s="1"/>
  <c r="N30" i="19" s="1"/>
  <c r="Q29" i="19"/>
  <c r="P29" i="19"/>
  <c r="O29" i="19"/>
  <c r="I29" i="19"/>
  <c r="J29" i="19" s="1"/>
  <c r="N29" i="19" s="1"/>
  <c r="Q28" i="19"/>
  <c r="P28" i="19"/>
  <c r="O28" i="19"/>
  <c r="I28" i="19"/>
  <c r="J28" i="19" s="1"/>
  <c r="N28" i="19" s="1"/>
  <c r="Q27" i="19"/>
  <c r="P27" i="19"/>
  <c r="O27" i="19"/>
  <c r="I27" i="19"/>
  <c r="J27" i="19" s="1"/>
  <c r="N27" i="19" s="1"/>
  <c r="Q26" i="19"/>
  <c r="P26" i="19"/>
  <c r="O26" i="19"/>
  <c r="I26" i="19"/>
  <c r="J26" i="19" s="1"/>
  <c r="N26" i="19" s="1"/>
  <c r="Q25" i="19"/>
  <c r="P25" i="19"/>
  <c r="O25" i="19"/>
  <c r="I25" i="19"/>
  <c r="J25" i="19" s="1"/>
  <c r="N25" i="19" s="1"/>
  <c r="Q24" i="19"/>
  <c r="P24" i="19"/>
  <c r="O24" i="19"/>
  <c r="I24" i="19"/>
  <c r="J24" i="19" s="1"/>
  <c r="N24" i="19" s="1"/>
  <c r="Q23" i="19"/>
  <c r="P23" i="19"/>
  <c r="O23" i="19"/>
  <c r="I23" i="19"/>
  <c r="J23" i="19" s="1"/>
  <c r="N23" i="19" s="1"/>
  <c r="Q22" i="19"/>
  <c r="P22" i="19"/>
  <c r="O22" i="19"/>
  <c r="I22" i="19"/>
  <c r="J22" i="19" s="1"/>
  <c r="N22" i="19" s="1"/>
  <c r="Q21" i="19"/>
  <c r="P21" i="19"/>
  <c r="O21" i="19"/>
  <c r="I21" i="19"/>
  <c r="J21" i="19" s="1"/>
  <c r="N21" i="19" s="1"/>
  <c r="Q20" i="19"/>
  <c r="P20" i="19"/>
  <c r="O20" i="19"/>
  <c r="I20" i="19"/>
  <c r="J20" i="19" s="1"/>
  <c r="N20" i="19" s="1"/>
  <c r="Q19" i="19"/>
  <c r="P19" i="19"/>
  <c r="O19" i="19"/>
  <c r="I19" i="19"/>
  <c r="J19" i="19" s="1"/>
  <c r="N19" i="19" s="1"/>
  <c r="Q18" i="19"/>
  <c r="P18" i="19"/>
  <c r="O18" i="19"/>
  <c r="I18" i="19"/>
  <c r="J18" i="19" s="1"/>
  <c r="N18" i="19" s="1"/>
  <c r="Q17" i="19"/>
  <c r="P17" i="19"/>
  <c r="O17" i="19"/>
  <c r="I17" i="19"/>
  <c r="J17" i="19" s="1"/>
  <c r="N17" i="19" s="1"/>
  <c r="Q16" i="19"/>
  <c r="P16" i="19"/>
  <c r="O16" i="19"/>
  <c r="I16" i="19"/>
  <c r="J16" i="19" s="1"/>
  <c r="N16" i="19" s="1"/>
  <c r="Q48" i="23"/>
  <c r="P48" i="23"/>
  <c r="O48" i="23"/>
  <c r="I48" i="23"/>
  <c r="J48" i="23" s="1"/>
  <c r="N48" i="23" s="1"/>
  <c r="Q47" i="23"/>
  <c r="P47" i="23"/>
  <c r="O47" i="23"/>
  <c r="I47" i="23"/>
  <c r="J47" i="23" s="1"/>
  <c r="N47" i="23" s="1"/>
  <c r="Q46" i="23"/>
  <c r="P46" i="23"/>
  <c r="O46" i="23"/>
  <c r="I46" i="23"/>
  <c r="J46" i="23" s="1"/>
  <c r="N46" i="23" s="1"/>
  <c r="Q45" i="23"/>
  <c r="P45" i="23"/>
  <c r="O45" i="23"/>
  <c r="I45" i="23"/>
  <c r="J45" i="23" s="1"/>
  <c r="N45" i="23" s="1"/>
  <c r="Q44" i="23"/>
  <c r="P44" i="23"/>
  <c r="O44" i="23"/>
  <c r="I44" i="23"/>
  <c r="J44" i="23" s="1"/>
  <c r="N44" i="23" s="1"/>
  <c r="Q43" i="23"/>
  <c r="P43" i="23"/>
  <c r="O43" i="23"/>
  <c r="I43" i="23"/>
  <c r="J43" i="23" s="1"/>
  <c r="N43" i="23" s="1"/>
  <c r="Q42" i="23"/>
  <c r="P42" i="23"/>
  <c r="O42" i="23"/>
  <c r="I42" i="23"/>
  <c r="J42" i="23" s="1"/>
  <c r="N42" i="23" s="1"/>
  <c r="Q41" i="23"/>
  <c r="P41" i="23"/>
  <c r="O41" i="23"/>
  <c r="I41" i="23"/>
  <c r="J41" i="23" s="1"/>
  <c r="N41" i="23" s="1"/>
  <c r="Q40" i="23"/>
  <c r="P40" i="23"/>
  <c r="O40" i="23"/>
  <c r="I40" i="23"/>
  <c r="J40" i="23" s="1"/>
  <c r="N40" i="23" s="1"/>
  <c r="Q39" i="23"/>
  <c r="P39" i="23"/>
  <c r="O39" i="23"/>
  <c r="I39" i="23"/>
  <c r="J39" i="23" s="1"/>
  <c r="N39" i="23" s="1"/>
  <c r="Q38" i="23"/>
  <c r="P38" i="23"/>
  <c r="O38" i="23"/>
  <c r="I38" i="23"/>
  <c r="J38" i="23" s="1"/>
  <c r="N38" i="23" s="1"/>
  <c r="Q37" i="23"/>
  <c r="P37" i="23"/>
  <c r="O37" i="23"/>
  <c r="I37" i="23"/>
  <c r="J37" i="23" s="1"/>
  <c r="N37" i="23" s="1"/>
  <c r="Q36" i="23"/>
  <c r="P36" i="23"/>
  <c r="O36" i="23"/>
  <c r="I36" i="23"/>
  <c r="J36" i="23" s="1"/>
  <c r="N36" i="23" s="1"/>
  <c r="Q35" i="23"/>
  <c r="P35" i="23"/>
  <c r="O35" i="23"/>
  <c r="I35" i="23"/>
  <c r="J35" i="23" s="1"/>
  <c r="N35" i="23" s="1"/>
  <c r="Q34" i="23"/>
  <c r="P34" i="23"/>
  <c r="O34" i="23"/>
  <c r="I34" i="23"/>
  <c r="J34" i="23" s="1"/>
  <c r="N34" i="23" s="1"/>
  <c r="Q33" i="23"/>
  <c r="P33" i="23"/>
  <c r="O33" i="23"/>
  <c r="I33" i="23"/>
  <c r="J33" i="23" s="1"/>
  <c r="N33" i="23" s="1"/>
  <c r="Q32" i="23"/>
  <c r="P32" i="23"/>
  <c r="O32" i="23"/>
  <c r="I32" i="23"/>
  <c r="J32" i="23" s="1"/>
  <c r="N32" i="23" s="1"/>
  <c r="Q31" i="23"/>
  <c r="P31" i="23"/>
  <c r="O31" i="23"/>
  <c r="I31" i="23"/>
  <c r="J31" i="23" s="1"/>
  <c r="N31" i="23" s="1"/>
  <c r="Q30" i="23"/>
  <c r="P30" i="23"/>
  <c r="O30" i="23"/>
  <c r="I30" i="23"/>
  <c r="J30" i="23" s="1"/>
  <c r="N30" i="23" s="1"/>
  <c r="Q29" i="23"/>
  <c r="P29" i="23"/>
  <c r="O29" i="23"/>
  <c r="I29" i="23"/>
  <c r="J29" i="23" s="1"/>
  <c r="N29" i="23" s="1"/>
  <c r="Q28" i="23"/>
  <c r="P28" i="23"/>
  <c r="O28" i="23"/>
  <c r="I28" i="23"/>
  <c r="J28" i="23" s="1"/>
  <c r="N28" i="23" s="1"/>
  <c r="Q27" i="23"/>
  <c r="P27" i="23"/>
  <c r="O27" i="23"/>
  <c r="I27" i="23"/>
  <c r="J27" i="23" s="1"/>
  <c r="N27" i="23" s="1"/>
  <c r="Q26" i="23"/>
  <c r="P26" i="23"/>
  <c r="O26" i="23"/>
  <c r="I26" i="23"/>
  <c r="J26" i="23" s="1"/>
  <c r="N26" i="23" s="1"/>
  <c r="Q25" i="23"/>
  <c r="P25" i="23"/>
  <c r="O25" i="23"/>
  <c r="I25" i="23"/>
  <c r="J25" i="23" s="1"/>
  <c r="N25" i="23" s="1"/>
  <c r="Q24" i="23"/>
  <c r="P24" i="23"/>
  <c r="O24" i="23"/>
  <c r="I24" i="23"/>
  <c r="J24" i="23" s="1"/>
  <c r="N24" i="23" s="1"/>
  <c r="Q23" i="23"/>
  <c r="P23" i="23"/>
  <c r="O23" i="23"/>
  <c r="I23" i="23"/>
  <c r="J23" i="23" s="1"/>
  <c r="N23" i="23" s="1"/>
  <c r="Q22" i="23"/>
  <c r="P22" i="23"/>
  <c r="O22" i="23"/>
  <c r="I22" i="23"/>
  <c r="J22" i="23" s="1"/>
  <c r="N22" i="23" s="1"/>
  <c r="Q21" i="23"/>
  <c r="P21" i="23"/>
  <c r="O21" i="23"/>
  <c r="I21" i="23"/>
  <c r="J21" i="23" s="1"/>
  <c r="N21" i="23" s="1"/>
  <c r="Q20" i="23"/>
  <c r="P20" i="23"/>
  <c r="O20" i="23"/>
  <c r="I20" i="23"/>
  <c r="J20" i="23" s="1"/>
  <c r="N20" i="23" s="1"/>
  <c r="Q19" i="23"/>
  <c r="P19" i="23"/>
  <c r="O19" i="23"/>
  <c r="I19" i="23"/>
  <c r="J19" i="23" s="1"/>
  <c r="N19" i="23" s="1"/>
  <c r="Q55" i="9"/>
  <c r="P55" i="9"/>
  <c r="O55" i="9"/>
  <c r="I55" i="9"/>
  <c r="J55" i="9" s="1"/>
  <c r="N55" i="9" s="1"/>
  <c r="Q54" i="9"/>
  <c r="P54" i="9"/>
  <c r="O54" i="9"/>
  <c r="I54" i="9"/>
  <c r="J54" i="9" s="1"/>
  <c r="N54" i="9" s="1"/>
  <c r="Q53" i="9"/>
  <c r="P53" i="9"/>
  <c r="O53" i="9"/>
  <c r="I53" i="9"/>
  <c r="J53" i="9" s="1"/>
  <c r="N53" i="9" s="1"/>
  <c r="Q52" i="9"/>
  <c r="P52" i="9"/>
  <c r="O52" i="9"/>
  <c r="I52" i="9"/>
  <c r="J52" i="9" s="1"/>
  <c r="N52" i="9" s="1"/>
  <c r="Q51" i="9"/>
  <c r="P51" i="9"/>
  <c r="O51" i="9"/>
  <c r="I51" i="9"/>
  <c r="J51" i="9" s="1"/>
  <c r="N51" i="9" s="1"/>
  <c r="Q50" i="9"/>
  <c r="P50" i="9"/>
  <c r="O50" i="9"/>
  <c r="I50" i="9"/>
  <c r="J50" i="9" s="1"/>
  <c r="N50" i="9" s="1"/>
  <c r="Q49" i="9"/>
  <c r="P49" i="9"/>
  <c r="O49" i="9"/>
  <c r="I49" i="9"/>
  <c r="J49" i="9" s="1"/>
  <c r="N49" i="9" s="1"/>
  <c r="Q48" i="9"/>
  <c r="P48" i="9"/>
  <c r="O48" i="9"/>
  <c r="I48" i="9"/>
  <c r="J48" i="9" s="1"/>
  <c r="N48" i="9" s="1"/>
  <c r="Q47" i="9"/>
  <c r="P47" i="9"/>
  <c r="O47" i="9"/>
  <c r="I47" i="9"/>
  <c r="J47" i="9" s="1"/>
  <c r="N47" i="9" s="1"/>
  <c r="Q46" i="9"/>
  <c r="P46" i="9"/>
  <c r="O46" i="9"/>
  <c r="I46" i="9"/>
  <c r="J46" i="9" s="1"/>
  <c r="N46" i="9" s="1"/>
  <c r="Q45" i="9"/>
  <c r="P45" i="9"/>
  <c r="O45" i="9"/>
  <c r="I45" i="9"/>
  <c r="J45" i="9" s="1"/>
  <c r="N45" i="9" s="1"/>
  <c r="Q44" i="9"/>
  <c r="P44" i="9"/>
  <c r="O44" i="9"/>
  <c r="I44" i="9"/>
  <c r="J44" i="9" s="1"/>
  <c r="N44" i="9" s="1"/>
  <c r="Q43" i="9"/>
  <c r="P43" i="9"/>
  <c r="O43" i="9"/>
  <c r="I43" i="9"/>
  <c r="J43" i="9" s="1"/>
  <c r="N43" i="9" s="1"/>
  <c r="Q42" i="9"/>
  <c r="P42" i="9"/>
  <c r="O42" i="9"/>
  <c r="I42" i="9"/>
  <c r="J42" i="9" s="1"/>
  <c r="N42" i="9" s="1"/>
  <c r="Q41" i="9"/>
  <c r="P41" i="9"/>
  <c r="O41" i="9"/>
  <c r="I41" i="9"/>
  <c r="J41" i="9" s="1"/>
  <c r="N41" i="9" s="1"/>
  <c r="Q40" i="9"/>
  <c r="P40" i="9"/>
  <c r="O40" i="9"/>
  <c r="I40" i="9"/>
  <c r="J40" i="9" s="1"/>
  <c r="N40" i="9" s="1"/>
  <c r="Q39" i="9"/>
  <c r="P39" i="9"/>
  <c r="O39" i="9"/>
  <c r="I39" i="9"/>
  <c r="J39" i="9" s="1"/>
  <c r="N39" i="9" s="1"/>
  <c r="Q38" i="9"/>
  <c r="P38" i="9"/>
  <c r="O38" i="9"/>
  <c r="I38" i="9"/>
  <c r="J38" i="9" s="1"/>
  <c r="N38" i="9" s="1"/>
  <c r="Q37" i="9"/>
  <c r="P37" i="9"/>
  <c r="O37" i="9"/>
  <c r="I37" i="9"/>
  <c r="J37" i="9" s="1"/>
  <c r="N37" i="9" s="1"/>
  <c r="Q36" i="9"/>
  <c r="P36" i="9"/>
  <c r="O36" i="9"/>
  <c r="J36" i="9"/>
  <c r="N36" i="9" s="1"/>
  <c r="I36" i="9"/>
  <c r="Q35" i="9"/>
  <c r="P35" i="9"/>
  <c r="O35" i="9"/>
  <c r="I35" i="9"/>
  <c r="J35" i="9" s="1"/>
  <c r="N35" i="9" s="1"/>
  <c r="Q34" i="9"/>
  <c r="P34" i="9"/>
  <c r="O34" i="9"/>
  <c r="I34" i="9"/>
  <c r="J34" i="9" s="1"/>
  <c r="N34" i="9" s="1"/>
  <c r="Q33" i="9"/>
  <c r="P33" i="9"/>
  <c r="O33" i="9"/>
  <c r="I33" i="9"/>
  <c r="J33" i="9" s="1"/>
  <c r="N33" i="9" s="1"/>
  <c r="Q32" i="9"/>
  <c r="P32" i="9"/>
  <c r="O32" i="9"/>
  <c r="I32" i="9"/>
  <c r="J32" i="9" s="1"/>
  <c r="N32" i="9" s="1"/>
  <c r="Q31" i="9"/>
  <c r="P31" i="9"/>
  <c r="O31" i="9"/>
  <c r="I31" i="9"/>
  <c r="J31" i="9" s="1"/>
  <c r="N31" i="9" s="1"/>
  <c r="Q30" i="9"/>
  <c r="P30" i="9"/>
  <c r="O30" i="9"/>
  <c r="I30" i="9"/>
  <c r="J30" i="9" s="1"/>
  <c r="N30" i="9" s="1"/>
  <c r="Q29" i="9"/>
  <c r="P29" i="9"/>
  <c r="O29" i="9"/>
  <c r="I29" i="9"/>
  <c r="J29" i="9" s="1"/>
  <c r="N29" i="9" s="1"/>
  <c r="Q28" i="9"/>
  <c r="P28" i="9"/>
  <c r="O28" i="9"/>
  <c r="I28" i="9"/>
  <c r="J28" i="9" s="1"/>
  <c r="N28" i="9" s="1"/>
  <c r="Q27" i="9"/>
  <c r="P27" i="9"/>
  <c r="O27" i="9"/>
  <c r="I27" i="9"/>
  <c r="J27" i="9" s="1"/>
  <c r="N27" i="9" s="1"/>
  <c r="Q26" i="9"/>
  <c r="P26" i="9"/>
  <c r="O26" i="9"/>
  <c r="I26" i="9"/>
  <c r="J26" i="9" s="1"/>
  <c r="N26" i="9" s="1"/>
  <c r="Q55" i="16"/>
  <c r="P55" i="16"/>
  <c r="O55" i="16"/>
  <c r="I55" i="16"/>
  <c r="J55" i="16" s="1"/>
  <c r="N55" i="16" s="1"/>
  <c r="Q54" i="16"/>
  <c r="P54" i="16"/>
  <c r="O54" i="16"/>
  <c r="I54" i="16"/>
  <c r="J54" i="16" s="1"/>
  <c r="N54" i="16" s="1"/>
  <c r="Q53" i="16"/>
  <c r="P53" i="16"/>
  <c r="O53" i="16"/>
  <c r="I53" i="16"/>
  <c r="J53" i="16" s="1"/>
  <c r="N53" i="16" s="1"/>
  <c r="Q52" i="16"/>
  <c r="P52" i="16"/>
  <c r="O52" i="16"/>
  <c r="I52" i="16"/>
  <c r="J52" i="16" s="1"/>
  <c r="N52" i="16" s="1"/>
  <c r="Q51" i="16"/>
  <c r="P51" i="16"/>
  <c r="O51" i="16"/>
  <c r="I51" i="16"/>
  <c r="J51" i="16" s="1"/>
  <c r="N51" i="16" s="1"/>
  <c r="Q50" i="16"/>
  <c r="P50" i="16"/>
  <c r="O50" i="16"/>
  <c r="I50" i="16"/>
  <c r="J50" i="16" s="1"/>
  <c r="N50" i="16" s="1"/>
  <c r="Q49" i="16"/>
  <c r="P49" i="16"/>
  <c r="O49" i="16"/>
  <c r="I49" i="16"/>
  <c r="J49" i="16" s="1"/>
  <c r="N49" i="16" s="1"/>
  <c r="Q48" i="16"/>
  <c r="P48" i="16"/>
  <c r="O48" i="16"/>
  <c r="I48" i="16"/>
  <c r="J48" i="16" s="1"/>
  <c r="N48" i="16" s="1"/>
  <c r="Q47" i="16"/>
  <c r="P47" i="16"/>
  <c r="O47" i="16"/>
  <c r="I47" i="16"/>
  <c r="J47" i="16" s="1"/>
  <c r="N47" i="16" s="1"/>
  <c r="Q46" i="16"/>
  <c r="P46" i="16"/>
  <c r="O46" i="16"/>
  <c r="I46" i="16"/>
  <c r="J46" i="16" s="1"/>
  <c r="N46" i="16" s="1"/>
  <c r="Q45" i="16"/>
  <c r="P45" i="16"/>
  <c r="O45" i="16"/>
  <c r="I45" i="16"/>
  <c r="J45" i="16" s="1"/>
  <c r="N45" i="16" s="1"/>
  <c r="Q44" i="16"/>
  <c r="P44" i="16"/>
  <c r="O44" i="16"/>
  <c r="I44" i="16"/>
  <c r="J44" i="16" s="1"/>
  <c r="N44" i="16" s="1"/>
  <c r="Q43" i="16"/>
  <c r="P43" i="16"/>
  <c r="O43" i="16"/>
  <c r="I43" i="16"/>
  <c r="J43" i="16" s="1"/>
  <c r="N43" i="16" s="1"/>
  <c r="Q42" i="16"/>
  <c r="P42" i="16"/>
  <c r="O42" i="16"/>
  <c r="I42" i="16"/>
  <c r="J42" i="16" s="1"/>
  <c r="N42" i="16" s="1"/>
  <c r="Q41" i="16"/>
  <c r="P41" i="16"/>
  <c r="O41" i="16"/>
  <c r="I41" i="16"/>
  <c r="J41" i="16" s="1"/>
  <c r="N41" i="16" s="1"/>
  <c r="Q40" i="16"/>
  <c r="P40" i="16"/>
  <c r="O40" i="16"/>
  <c r="I40" i="16"/>
  <c r="J40" i="16" s="1"/>
  <c r="N40" i="16" s="1"/>
  <c r="Q39" i="16"/>
  <c r="P39" i="16"/>
  <c r="O39" i="16"/>
  <c r="I39" i="16"/>
  <c r="J39" i="16" s="1"/>
  <c r="N39" i="16" s="1"/>
  <c r="Q38" i="16"/>
  <c r="P38" i="16"/>
  <c r="O38" i="16"/>
  <c r="I38" i="16"/>
  <c r="J38" i="16" s="1"/>
  <c r="N38" i="16" s="1"/>
  <c r="Q37" i="16"/>
  <c r="P37" i="16"/>
  <c r="O37" i="16"/>
  <c r="I37" i="16"/>
  <c r="J37" i="16" s="1"/>
  <c r="N37" i="16" s="1"/>
  <c r="Q36" i="16"/>
  <c r="P36" i="16"/>
  <c r="O36" i="16"/>
  <c r="I36" i="16"/>
  <c r="J36" i="16" s="1"/>
  <c r="N36" i="16" s="1"/>
  <c r="Q35" i="16"/>
  <c r="P35" i="16"/>
  <c r="O35" i="16"/>
  <c r="I35" i="16"/>
  <c r="J35" i="16" s="1"/>
  <c r="N35" i="16" s="1"/>
  <c r="Q34" i="16"/>
  <c r="P34" i="16"/>
  <c r="O34" i="16"/>
  <c r="I34" i="16"/>
  <c r="J34" i="16" s="1"/>
  <c r="N34" i="16" s="1"/>
  <c r="Q33" i="16"/>
  <c r="P33" i="16"/>
  <c r="O33" i="16"/>
  <c r="I33" i="16"/>
  <c r="J33" i="16" s="1"/>
  <c r="N33" i="16" s="1"/>
  <c r="Q32" i="16"/>
  <c r="P32" i="16"/>
  <c r="O32" i="16"/>
  <c r="I32" i="16"/>
  <c r="J32" i="16" s="1"/>
  <c r="N32" i="16" s="1"/>
  <c r="Q31" i="16"/>
  <c r="P31" i="16"/>
  <c r="O31" i="16"/>
  <c r="I31" i="16"/>
  <c r="J31" i="16" s="1"/>
  <c r="N31" i="16" s="1"/>
  <c r="Q30" i="16"/>
  <c r="P30" i="16"/>
  <c r="O30" i="16"/>
  <c r="I30" i="16"/>
  <c r="J30" i="16" s="1"/>
  <c r="N30" i="16" s="1"/>
  <c r="Q29" i="16"/>
  <c r="P29" i="16"/>
  <c r="O29" i="16"/>
  <c r="I29" i="16"/>
  <c r="J29" i="16" s="1"/>
  <c r="N29" i="16" s="1"/>
  <c r="Q28" i="16"/>
  <c r="P28" i="16"/>
  <c r="O28" i="16"/>
  <c r="I28" i="16"/>
  <c r="J28" i="16" s="1"/>
  <c r="N28" i="16" s="1"/>
  <c r="Q27" i="16"/>
  <c r="P27" i="16"/>
  <c r="O27" i="16"/>
  <c r="I27" i="16"/>
  <c r="J27" i="16" s="1"/>
  <c r="N27" i="16" s="1"/>
  <c r="Q26" i="16"/>
  <c r="P26" i="16"/>
  <c r="O26" i="16"/>
  <c r="I26" i="16"/>
  <c r="J26" i="16" s="1"/>
  <c r="N26" i="16" s="1"/>
  <c r="Q53" i="25"/>
  <c r="P53" i="25"/>
  <c r="O53" i="25"/>
  <c r="I53" i="25"/>
  <c r="J53" i="25" s="1"/>
  <c r="N53" i="25" s="1"/>
  <c r="Q52" i="25"/>
  <c r="P52" i="25"/>
  <c r="O52" i="25"/>
  <c r="I52" i="25"/>
  <c r="J52" i="25" s="1"/>
  <c r="N52" i="25" s="1"/>
  <c r="Q51" i="25"/>
  <c r="P51" i="25"/>
  <c r="O51" i="25"/>
  <c r="I51" i="25"/>
  <c r="J51" i="25" s="1"/>
  <c r="N51" i="25" s="1"/>
  <c r="Q50" i="25"/>
  <c r="P50" i="25"/>
  <c r="O50" i="25"/>
  <c r="I50" i="25"/>
  <c r="J50" i="25" s="1"/>
  <c r="N50" i="25" s="1"/>
  <c r="Q49" i="25"/>
  <c r="P49" i="25"/>
  <c r="O49" i="25"/>
  <c r="I49" i="25"/>
  <c r="J49" i="25" s="1"/>
  <c r="N49" i="25" s="1"/>
  <c r="Q48" i="25"/>
  <c r="P48" i="25"/>
  <c r="O48" i="25"/>
  <c r="I48" i="25"/>
  <c r="J48" i="25" s="1"/>
  <c r="N48" i="25" s="1"/>
  <c r="Q47" i="25"/>
  <c r="P47" i="25"/>
  <c r="O47" i="25"/>
  <c r="I47" i="25"/>
  <c r="J47" i="25" s="1"/>
  <c r="N47" i="25" s="1"/>
  <c r="Q46" i="25"/>
  <c r="P46" i="25"/>
  <c r="O46" i="25"/>
  <c r="I46" i="25"/>
  <c r="J46" i="25" s="1"/>
  <c r="N46" i="25" s="1"/>
  <c r="Q45" i="25"/>
  <c r="P45" i="25"/>
  <c r="O45" i="25"/>
  <c r="I45" i="25"/>
  <c r="J45" i="25" s="1"/>
  <c r="N45" i="25" s="1"/>
  <c r="Q44" i="25"/>
  <c r="P44" i="25"/>
  <c r="O44" i="25"/>
  <c r="I44" i="25"/>
  <c r="J44" i="25" s="1"/>
  <c r="N44" i="25" s="1"/>
  <c r="Q43" i="25"/>
  <c r="P43" i="25"/>
  <c r="O43" i="25"/>
  <c r="I43" i="25"/>
  <c r="J43" i="25" s="1"/>
  <c r="N43" i="25" s="1"/>
  <c r="Q42" i="25"/>
  <c r="P42" i="25"/>
  <c r="O42" i="25"/>
  <c r="I42" i="25"/>
  <c r="J42" i="25" s="1"/>
  <c r="N42" i="25" s="1"/>
  <c r="Q41" i="25"/>
  <c r="P41" i="25"/>
  <c r="O41" i="25"/>
  <c r="I41" i="25"/>
  <c r="J41" i="25" s="1"/>
  <c r="N41" i="25" s="1"/>
  <c r="Q40" i="25"/>
  <c r="P40" i="25"/>
  <c r="O40" i="25"/>
  <c r="I40" i="25"/>
  <c r="J40" i="25" s="1"/>
  <c r="N40" i="25" s="1"/>
  <c r="Q39" i="25"/>
  <c r="P39" i="25"/>
  <c r="O39" i="25"/>
  <c r="I39" i="25"/>
  <c r="J39" i="25" s="1"/>
  <c r="N39" i="25" s="1"/>
  <c r="Q38" i="25"/>
  <c r="P38" i="25"/>
  <c r="O38" i="25"/>
  <c r="I38" i="25"/>
  <c r="J38" i="25" s="1"/>
  <c r="N38" i="25" s="1"/>
  <c r="Q37" i="25"/>
  <c r="P37" i="25"/>
  <c r="O37" i="25"/>
  <c r="I37" i="25"/>
  <c r="J37" i="25" s="1"/>
  <c r="N37" i="25" s="1"/>
  <c r="Q36" i="25"/>
  <c r="P36" i="25"/>
  <c r="O36" i="25"/>
  <c r="I36" i="25"/>
  <c r="J36" i="25" s="1"/>
  <c r="N36" i="25" s="1"/>
  <c r="Q35" i="25"/>
  <c r="P35" i="25"/>
  <c r="O35" i="25"/>
  <c r="I35" i="25"/>
  <c r="J35" i="25" s="1"/>
  <c r="N35" i="25" s="1"/>
  <c r="Q34" i="25"/>
  <c r="P34" i="25"/>
  <c r="O34" i="25"/>
  <c r="I34" i="25"/>
  <c r="J34" i="25" s="1"/>
  <c r="N34" i="25" s="1"/>
  <c r="Q33" i="25"/>
  <c r="P33" i="25"/>
  <c r="O33" i="25"/>
  <c r="I33" i="25"/>
  <c r="J33" i="25" s="1"/>
  <c r="N33" i="25" s="1"/>
  <c r="Q32" i="25"/>
  <c r="P32" i="25"/>
  <c r="O32" i="25"/>
  <c r="I32" i="25"/>
  <c r="J32" i="25" s="1"/>
  <c r="N32" i="25" s="1"/>
  <c r="Q31" i="25"/>
  <c r="P31" i="25"/>
  <c r="O31" i="25"/>
  <c r="I31" i="25"/>
  <c r="J31" i="25" s="1"/>
  <c r="N31" i="25" s="1"/>
  <c r="Q30" i="25"/>
  <c r="P30" i="25"/>
  <c r="O30" i="25"/>
  <c r="I30" i="25"/>
  <c r="J30" i="25" s="1"/>
  <c r="N30" i="25" s="1"/>
  <c r="Q29" i="25"/>
  <c r="P29" i="25"/>
  <c r="O29" i="25"/>
  <c r="I29" i="25"/>
  <c r="J29" i="25" s="1"/>
  <c r="N29" i="25" s="1"/>
  <c r="Q28" i="25"/>
  <c r="P28" i="25"/>
  <c r="O28" i="25"/>
  <c r="I28" i="25"/>
  <c r="J28" i="25" s="1"/>
  <c r="N28" i="25" s="1"/>
  <c r="Q27" i="25"/>
  <c r="P27" i="25"/>
  <c r="O27" i="25"/>
  <c r="I27" i="25"/>
  <c r="J27" i="25" s="1"/>
  <c r="N27" i="25" s="1"/>
  <c r="Q26" i="25"/>
  <c r="P26" i="25"/>
  <c r="O26" i="25"/>
  <c r="I26" i="25"/>
  <c r="J26" i="25" s="1"/>
  <c r="N26" i="25" s="1"/>
  <c r="Q25" i="25"/>
  <c r="P25" i="25"/>
  <c r="O25" i="25"/>
  <c r="I25" i="25"/>
  <c r="J25" i="25" s="1"/>
  <c r="N25" i="25" s="1"/>
  <c r="Q24" i="25"/>
  <c r="P24" i="25"/>
  <c r="O24" i="25"/>
  <c r="I24" i="25"/>
  <c r="J24" i="25" s="1"/>
  <c r="N24" i="25" s="1"/>
  <c r="Q55" i="10"/>
  <c r="P55" i="10"/>
  <c r="O55" i="10"/>
  <c r="I55" i="10"/>
  <c r="J55" i="10" s="1"/>
  <c r="N55" i="10" s="1"/>
  <c r="Q54" i="10"/>
  <c r="P54" i="10"/>
  <c r="O54" i="10"/>
  <c r="I54" i="10"/>
  <c r="J54" i="10" s="1"/>
  <c r="N54" i="10" s="1"/>
  <c r="Q53" i="10"/>
  <c r="P53" i="10"/>
  <c r="O53" i="10"/>
  <c r="I53" i="10"/>
  <c r="J53" i="10" s="1"/>
  <c r="N53" i="10" s="1"/>
  <c r="Q52" i="10"/>
  <c r="P52" i="10"/>
  <c r="O52" i="10"/>
  <c r="I52" i="10"/>
  <c r="J52" i="10" s="1"/>
  <c r="N52" i="10" s="1"/>
  <c r="Q51" i="10"/>
  <c r="P51" i="10"/>
  <c r="O51" i="10"/>
  <c r="I51" i="10"/>
  <c r="J51" i="10" s="1"/>
  <c r="N51" i="10" s="1"/>
  <c r="Q50" i="10"/>
  <c r="P50" i="10"/>
  <c r="O50" i="10"/>
  <c r="I50" i="10"/>
  <c r="J50" i="10" s="1"/>
  <c r="N50" i="10" s="1"/>
  <c r="Q49" i="10"/>
  <c r="P49" i="10"/>
  <c r="O49" i="10"/>
  <c r="I49" i="10"/>
  <c r="J49" i="10" s="1"/>
  <c r="N49" i="10" s="1"/>
  <c r="Q48" i="10"/>
  <c r="P48" i="10"/>
  <c r="O48" i="10"/>
  <c r="I48" i="10"/>
  <c r="J48" i="10" s="1"/>
  <c r="N48" i="10" s="1"/>
  <c r="Q47" i="10"/>
  <c r="P47" i="10"/>
  <c r="O47" i="10"/>
  <c r="I47" i="10"/>
  <c r="J47" i="10" s="1"/>
  <c r="N47" i="10" s="1"/>
  <c r="Q46" i="10"/>
  <c r="P46" i="10"/>
  <c r="O46" i="10"/>
  <c r="I46" i="10"/>
  <c r="J46" i="10" s="1"/>
  <c r="N46" i="10" s="1"/>
  <c r="Q45" i="10"/>
  <c r="P45" i="10"/>
  <c r="O45" i="10"/>
  <c r="I45" i="10"/>
  <c r="J45" i="10" s="1"/>
  <c r="N45" i="10" s="1"/>
  <c r="Q44" i="10"/>
  <c r="P44" i="10"/>
  <c r="O44" i="10"/>
  <c r="I44" i="10"/>
  <c r="J44" i="10" s="1"/>
  <c r="N44" i="10" s="1"/>
  <c r="Q43" i="10"/>
  <c r="P43" i="10"/>
  <c r="O43" i="10"/>
  <c r="I43" i="10"/>
  <c r="J43" i="10" s="1"/>
  <c r="N43" i="10" s="1"/>
  <c r="Q42" i="10"/>
  <c r="P42" i="10"/>
  <c r="O42" i="10"/>
  <c r="I42" i="10"/>
  <c r="J42" i="10" s="1"/>
  <c r="N42" i="10" s="1"/>
  <c r="Q41" i="10"/>
  <c r="P41" i="10"/>
  <c r="O41" i="10"/>
  <c r="I41" i="10"/>
  <c r="J41" i="10" s="1"/>
  <c r="N41" i="10" s="1"/>
  <c r="Q40" i="10"/>
  <c r="P40" i="10"/>
  <c r="O40" i="10"/>
  <c r="I40" i="10"/>
  <c r="J40" i="10" s="1"/>
  <c r="N40" i="10" s="1"/>
  <c r="Q39" i="10"/>
  <c r="P39" i="10"/>
  <c r="O39" i="10"/>
  <c r="I39" i="10"/>
  <c r="J39" i="10" s="1"/>
  <c r="N39" i="10" s="1"/>
  <c r="Q38" i="10"/>
  <c r="P38" i="10"/>
  <c r="O38" i="10"/>
  <c r="I38" i="10"/>
  <c r="J38" i="10" s="1"/>
  <c r="N38" i="10" s="1"/>
  <c r="Q37" i="10"/>
  <c r="P37" i="10"/>
  <c r="O37" i="10"/>
  <c r="I37" i="10"/>
  <c r="J37" i="10" s="1"/>
  <c r="N37" i="10" s="1"/>
  <c r="Q36" i="10"/>
  <c r="P36" i="10"/>
  <c r="O36" i="10"/>
  <c r="I36" i="10"/>
  <c r="J36" i="10" s="1"/>
  <c r="N36" i="10" s="1"/>
  <c r="Q35" i="10"/>
  <c r="P35" i="10"/>
  <c r="O35" i="10"/>
  <c r="I35" i="10"/>
  <c r="J35" i="10" s="1"/>
  <c r="N35" i="10" s="1"/>
  <c r="Q34" i="10"/>
  <c r="P34" i="10"/>
  <c r="O34" i="10"/>
  <c r="I34" i="10"/>
  <c r="J34" i="10" s="1"/>
  <c r="N34" i="10" s="1"/>
  <c r="Q33" i="10"/>
  <c r="P33" i="10"/>
  <c r="O33" i="10"/>
  <c r="I33" i="10"/>
  <c r="J33" i="10" s="1"/>
  <c r="N33" i="10" s="1"/>
  <c r="Q32" i="10"/>
  <c r="P32" i="10"/>
  <c r="O32" i="10"/>
  <c r="I32" i="10"/>
  <c r="J32" i="10" s="1"/>
  <c r="N32" i="10" s="1"/>
  <c r="Q31" i="10"/>
  <c r="P31" i="10"/>
  <c r="O31" i="10"/>
  <c r="I31" i="10"/>
  <c r="J31" i="10" s="1"/>
  <c r="N31" i="10" s="1"/>
  <c r="Q30" i="10"/>
  <c r="P30" i="10"/>
  <c r="O30" i="10"/>
  <c r="I30" i="10"/>
  <c r="J30" i="10" s="1"/>
  <c r="N30" i="10" s="1"/>
  <c r="Q29" i="10"/>
  <c r="P29" i="10"/>
  <c r="O29" i="10"/>
  <c r="I29" i="10"/>
  <c r="J29" i="10" s="1"/>
  <c r="N29" i="10" s="1"/>
  <c r="Q28" i="10"/>
  <c r="P28" i="10"/>
  <c r="O28" i="10"/>
  <c r="I28" i="10"/>
  <c r="J28" i="10" s="1"/>
  <c r="N28" i="10" s="1"/>
  <c r="Q27" i="10"/>
  <c r="P27" i="10"/>
  <c r="O27" i="10"/>
  <c r="I27" i="10"/>
  <c r="J27" i="10" s="1"/>
  <c r="N27" i="10" s="1"/>
  <c r="Q26" i="10"/>
  <c r="P26" i="10"/>
  <c r="O26" i="10"/>
  <c r="I26" i="10"/>
  <c r="J26" i="10" s="1"/>
  <c r="N26" i="10" s="1"/>
  <c r="Q37" i="18"/>
  <c r="P37" i="18"/>
  <c r="O37" i="18"/>
  <c r="I37" i="18"/>
  <c r="J37" i="18" s="1"/>
  <c r="N37" i="18" s="1"/>
  <c r="Q36" i="18"/>
  <c r="P36" i="18"/>
  <c r="O36" i="18"/>
  <c r="I36" i="18"/>
  <c r="J36" i="18" s="1"/>
  <c r="N36" i="18" s="1"/>
  <c r="Q35" i="18"/>
  <c r="P35" i="18"/>
  <c r="O35" i="18"/>
  <c r="I35" i="18"/>
  <c r="J35" i="18" s="1"/>
  <c r="N35" i="18" s="1"/>
  <c r="Q34" i="18"/>
  <c r="P34" i="18"/>
  <c r="O34" i="18"/>
  <c r="I34" i="18"/>
  <c r="J34" i="18" s="1"/>
  <c r="N34" i="18" s="1"/>
  <c r="Q33" i="18"/>
  <c r="P33" i="18"/>
  <c r="O33" i="18"/>
  <c r="I33" i="18"/>
  <c r="J33" i="18" s="1"/>
  <c r="N33" i="18" s="1"/>
  <c r="Q32" i="18"/>
  <c r="P32" i="18"/>
  <c r="O32" i="18"/>
  <c r="I32" i="18"/>
  <c r="J32" i="18" s="1"/>
  <c r="N32" i="18" s="1"/>
  <c r="Q31" i="18"/>
  <c r="P31" i="18"/>
  <c r="O31" i="18"/>
  <c r="I31" i="18"/>
  <c r="J31" i="18" s="1"/>
  <c r="N31" i="18" s="1"/>
  <c r="Q30" i="18"/>
  <c r="P30" i="18"/>
  <c r="O30" i="18"/>
  <c r="I30" i="18"/>
  <c r="J30" i="18" s="1"/>
  <c r="N30" i="18" s="1"/>
  <c r="Q29" i="18"/>
  <c r="P29" i="18"/>
  <c r="O29" i="18"/>
  <c r="I29" i="18"/>
  <c r="J29" i="18" s="1"/>
  <c r="N29" i="18" s="1"/>
  <c r="I34" i="24"/>
  <c r="J34" i="24" s="1"/>
  <c r="N34" i="24" s="1"/>
  <c r="I35" i="24"/>
  <c r="J35" i="24" s="1"/>
  <c r="N35" i="24" s="1"/>
  <c r="I36" i="24"/>
  <c r="J36" i="24" s="1"/>
  <c r="N36" i="24" s="1"/>
  <c r="I37" i="24"/>
  <c r="J37" i="24" s="1"/>
  <c r="N37" i="24" s="1"/>
  <c r="I38" i="24"/>
  <c r="J38" i="24" s="1"/>
  <c r="N38" i="24" s="1"/>
  <c r="I39" i="24"/>
  <c r="I40" i="24"/>
  <c r="I41" i="24"/>
  <c r="I42" i="24"/>
  <c r="I43" i="24"/>
  <c r="I44" i="24"/>
  <c r="I45" i="24"/>
  <c r="I46" i="24"/>
  <c r="I47" i="24"/>
  <c r="I21" i="18"/>
  <c r="I22" i="18"/>
  <c r="I23" i="18"/>
  <c r="I24" i="18"/>
  <c r="I25" i="18"/>
  <c r="I26" i="18"/>
  <c r="J26" i="18" s="1"/>
  <c r="N26" i="18" s="1"/>
  <c r="I27" i="18"/>
  <c r="J27" i="18" s="1"/>
  <c r="N27" i="18" s="1"/>
  <c r="I28" i="18"/>
  <c r="J28" i="18" s="1"/>
  <c r="N28" i="18" s="1"/>
  <c r="I38" i="18"/>
  <c r="J38" i="18" s="1"/>
  <c r="N38" i="18" s="1"/>
  <c r="I39" i="18"/>
  <c r="J39" i="18" s="1"/>
  <c r="N39" i="18" s="1"/>
  <c r="I40" i="18"/>
  <c r="J40" i="18" s="1"/>
  <c r="N40" i="18" s="1"/>
  <c r="I41" i="18"/>
  <c r="J41" i="18" s="1"/>
  <c r="N41" i="18" s="1"/>
  <c r="I42" i="18"/>
  <c r="J42" i="18" s="1"/>
  <c r="N42" i="18" s="1"/>
  <c r="I43" i="18"/>
  <c r="J43" i="18" s="1"/>
  <c r="N43" i="18" s="1"/>
  <c r="I44" i="18"/>
  <c r="J44" i="18" s="1"/>
  <c r="N44" i="18" s="1"/>
  <c r="I45" i="18"/>
  <c r="J45" i="18" s="1"/>
  <c r="N45" i="18" s="1"/>
  <c r="I46" i="18"/>
  <c r="J46" i="18" s="1"/>
  <c r="N46" i="18" s="1"/>
  <c r="I47" i="18"/>
  <c r="J47" i="18" s="1"/>
  <c r="N47" i="18" s="1"/>
  <c r="I48" i="18"/>
  <c r="J48" i="18" s="1"/>
  <c r="N48" i="18" s="1"/>
  <c r="I49" i="18"/>
  <c r="J49" i="18" s="1"/>
  <c r="N49" i="18" s="1"/>
  <c r="I50" i="18"/>
  <c r="J50" i="18" s="1"/>
  <c r="N50" i="18" s="1"/>
  <c r="I51" i="18"/>
  <c r="J51" i="18" s="1"/>
  <c r="N51" i="18" s="1"/>
  <c r="I52" i="18"/>
  <c r="J52" i="18" s="1"/>
  <c r="N52" i="18" s="1"/>
  <c r="I53" i="18"/>
  <c r="J53" i="18" s="1"/>
  <c r="N53" i="18" s="1"/>
  <c r="I54" i="18"/>
  <c r="J54" i="18" s="1"/>
  <c r="N54" i="18" s="1"/>
  <c r="I55" i="18"/>
  <c r="J55" i="18" s="1"/>
  <c r="N55" i="18" s="1"/>
  <c r="I56" i="18"/>
  <c r="I57" i="18"/>
  <c r="I58" i="18"/>
  <c r="Q55" i="18"/>
  <c r="P55" i="18"/>
  <c r="O55" i="18"/>
  <c r="Q54" i="18"/>
  <c r="P54" i="18"/>
  <c r="O54" i="18"/>
  <c r="Q53" i="18"/>
  <c r="P53" i="18"/>
  <c r="O53" i="18"/>
  <c r="Q52" i="18"/>
  <c r="P52" i="18"/>
  <c r="O52" i="18"/>
  <c r="Q51" i="18"/>
  <c r="P51" i="18"/>
  <c r="O51" i="18"/>
  <c r="Q50" i="18"/>
  <c r="P50" i="18"/>
  <c r="O50" i="18"/>
  <c r="Q49" i="18"/>
  <c r="P49" i="18"/>
  <c r="O49" i="18"/>
  <c r="Q48" i="18"/>
  <c r="P48" i="18"/>
  <c r="O48" i="18"/>
  <c r="Q47" i="18"/>
  <c r="P47" i="18"/>
  <c r="O47" i="18"/>
  <c r="Q46" i="18"/>
  <c r="P46" i="18"/>
  <c r="O46" i="18"/>
  <c r="Q45" i="18"/>
  <c r="P45" i="18"/>
  <c r="O45" i="18"/>
  <c r="Q44" i="18"/>
  <c r="P44" i="18"/>
  <c r="O44" i="18"/>
  <c r="Q43" i="18"/>
  <c r="P43" i="18"/>
  <c r="O43" i="18"/>
  <c r="Q42" i="18"/>
  <c r="P42" i="18"/>
  <c r="O42" i="18"/>
  <c r="Q41" i="18"/>
  <c r="P41" i="18"/>
  <c r="O41" i="18"/>
  <c r="Q40" i="18"/>
  <c r="P40" i="18"/>
  <c r="O40" i="18"/>
  <c r="Q39" i="18"/>
  <c r="P39" i="18"/>
  <c r="O39" i="18"/>
  <c r="Q38" i="18"/>
  <c r="P38" i="18"/>
  <c r="O38" i="18"/>
  <c r="Q28" i="18"/>
  <c r="P28" i="18"/>
  <c r="O28" i="18"/>
  <c r="Q27" i="18"/>
  <c r="P27" i="18"/>
  <c r="O27" i="18"/>
  <c r="Q26" i="18"/>
  <c r="P26" i="18"/>
  <c r="O26" i="18"/>
  <c r="Q33" i="24"/>
  <c r="P33" i="24"/>
  <c r="O33" i="24"/>
  <c r="I33" i="24"/>
  <c r="J33" i="24" s="1"/>
  <c r="N33" i="24" s="1"/>
  <c r="Q32" i="24"/>
  <c r="P32" i="24"/>
  <c r="O32" i="24"/>
  <c r="I32" i="24"/>
  <c r="J32" i="24" s="1"/>
  <c r="N32" i="24" s="1"/>
  <c r="Q18" i="24"/>
  <c r="P18" i="24"/>
  <c r="O18" i="24"/>
  <c r="I18" i="24"/>
  <c r="J18" i="24" s="1"/>
  <c r="N18" i="24" s="1"/>
  <c r="Q17" i="24"/>
  <c r="P17" i="24"/>
  <c r="O17" i="24"/>
  <c r="I17" i="24"/>
  <c r="J17" i="24" s="1"/>
  <c r="N17" i="24" s="1"/>
  <c r="Q16" i="24"/>
  <c r="P16" i="24"/>
  <c r="O16" i="24"/>
  <c r="I16" i="24"/>
  <c r="J16" i="24" s="1"/>
  <c r="N16" i="24" s="1"/>
  <c r="Q15" i="24"/>
  <c r="P15" i="24"/>
  <c r="O15" i="24"/>
  <c r="I15" i="24"/>
  <c r="J15" i="24" s="1"/>
  <c r="N15" i="24" s="1"/>
  <c r="Q14" i="24"/>
  <c r="P14" i="24"/>
  <c r="O14" i="24"/>
  <c r="I14" i="24"/>
  <c r="J14" i="24" s="1"/>
  <c r="N14" i="24" s="1"/>
  <c r="Q13" i="24"/>
  <c r="P13" i="24"/>
  <c r="O13" i="24"/>
  <c r="I13" i="24"/>
  <c r="J13" i="24" s="1"/>
  <c r="N13" i="24" s="1"/>
  <c r="Q12" i="24"/>
  <c r="P12" i="24"/>
  <c r="O12" i="24"/>
  <c r="I12" i="24"/>
  <c r="J12" i="24" s="1"/>
  <c r="N12" i="24" s="1"/>
  <c r="Q11" i="24"/>
  <c r="P11" i="24"/>
  <c r="O11" i="24"/>
  <c r="I11" i="24"/>
  <c r="J11" i="24" s="1"/>
  <c r="N11" i="24" s="1"/>
  <c r="Q10" i="24"/>
  <c r="P10" i="24"/>
  <c r="O10" i="24"/>
  <c r="I10" i="24"/>
  <c r="J10" i="24" s="1"/>
  <c r="N10" i="24" s="1"/>
  <c r="Q38" i="24"/>
  <c r="P38" i="24"/>
  <c r="O38" i="24"/>
  <c r="Q37" i="24"/>
  <c r="P37" i="24"/>
  <c r="O37" i="24"/>
  <c r="Q36" i="24"/>
  <c r="P36" i="24"/>
  <c r="O36" i="24"/>
  <c r="Q35" i="24"/>
  <c r="P35" i="24"/>
  <c r="O35" i="24"/>
  <c r="Q34" i="24"/>
  <c r="P34" i="24"/>
  <c r="O34" i="24"/>
  <c r="Q31" i="24"/>
  <c r="P31" i="24"/>
  <c r="O31" i="24"/>
  <c r="I31" i="24"/>
  <c r="J31" i="24" s="1"/>
  <c r="N31" i="24" s="1"/>
  <c r="Q30" i="24"/>
  <c r="P30" i="24"/>
  <c r="O30" i="24"/>
  <c r="I30" i="24"/>
  <c r="J30" i="24" s="1"/>
  <c r="N30" i="24" s="1"/>
  <c r="Q29" i="24"/>
  <c r="P29" i="24"/>
  <c r="O29" i="24"/>
  <c r="I29" i="24"/>
  <c r="J29" i="24" s="1"/>
  <c r="N29" i="24" s="1"/>
  <c r="Q28" i="24"/>
  <c r="P28" i="24"/>
  <c r="O28" i="24"/>
  <c r="I28" i="24"/>
  <c r="J28" i="24" s="1"/>
  <c r="N28" i="24" s="1"/>
  <c r="Q27" i="24"/>
  <c r="P27" i="24"/>
  <c r="O27" i="24"/>
  <c r="I27" i="24"/>
  <c r="J27" i="24" s="1"/>
  <c r="N27" i="24" s="1"/>
  <c r="Q26" i="24"/>
  <c r="P26" i="24"/>
  <c r="O26" i="24"/>
  <c r="I26" i="24"/>
  <c r="J26" i="24" s="1"/>
  <c r="N26" i="24" s="1"/>
  <c r="Q25" i="24"/>
  <c r="P25" i="24"/>
  <c r="O25" i="24"/>
  <c r="I25" i="24"/>
  <c r="J25" i="24" s="1"/>
  <c r="N25" i="24" s="1"/>
  <c r="Q24" i="24"/>
  <c r="P24" i="24"/>
  <c r="O24" i="24"/>
  <c r="I24" i="24"/>
  <c r="J24" i="24" s="1"/>
  <c r="N24" i="24" s="1"/>
  <c r="Q23" i="24"/>
  <c r="P23" i="24"/>
  <c r="O23" i="24"/>
  <c r="I23" i="24"/>
  <c r="J23" i="24" s="1"/>
  <c r="N23" i="24" s="1"/>
  <c r="Q22" i="24"/>
  <c r="P22" i="24"/>
  <c r="O22" i="24"/>
  <c r="I22" i="24"/>
  <c r="J22" i="24" s="1"/>
  <c r="N22" i="24" s="1"/>
  <c r="Q21" i="24"/>
  <c r="P21" i="24"/>
  <c r="O21" i="24"/>
  <c r="I21" i="24"/>
  <c r="J21" i="24" s="1"/>
  <c r="N21" i="24" s="1"/>
  <c r="Q20" i="24"/>
  <c r="P20" i="24"/>
  <c r="O20" i="24"/>
  <c r="I20" i="24"/>
  <c r="J20" i="24" s="1"/>
  <c r="N20" i="24" s="1"/>
  <c r="Q19" i="24"/>
  <c r="P19" i="24"/>
  <c r="O19" i="24"/>
  <c r="I19" i="24"/>
  <c r="J19" i="24" s="1"/>
  <c r="N19" i="24" s="1"/>
  <c r="Q9" i="24"/>
  <c r="P9" i="24"/>
  <c r="O9" i="24"/>
  <c r="I9" i="24"/>
  <c r="J9" i="24" s="1"/>
  <c r="N9" i="24" s="1"/>
  <c r="Q33" i="8"/>
  <c r="P33" i="8"/>
  <c r="O33" i="8"/>
  <c r="I33" i="8"/>
  <c r="J33" i="8" s="1"/>
  <c r="N33" i="8" s="1"/>
  <c r="Q32" i="8"/>
  <c r="P32" i="8"/>
  <c r="O32" i="8"/>
  <c r="I32" i="8"/>
  <c r="J32" i="8" s="1"/>
  <c r="N32" i="8" s="1"/>
  <c r="Q31" i="8"/>
  <c r="P31" i="8"/>
  <c r="O31" i="8"/>
  <c r="I31" i="8"/>
  <c r="J31" i="8" s="1"/>
  <c r="N31" i="8" s="1"/>
  <c r="Q30" i="8"/>
  <c r="P30" i="8"/>
  <c r="O30" i="8"/>
  <c r="I30" i="8"/>
  <c r="J30" i="8" s="1"/>
  <c r="N30" i="8" s="1"/>
  <c r="Q29" i="8"/>
  <c r="P29" i="8"/>
  <c r="O29" i="8"/>
  <c r="I29" i="8"/>
  <c r="J29" i="8" s="1"/>
  <c r="N29" i="8" s="1"/>
  <c r="Q28" i="8"/>
  <c r="P28" i="8"/>
  <c r="O28" i="8"/>
  <c r="I28" i="8"/>
  <c r="J28" i="8" s="1"/>
  <c r="N28" i="8" s="1"/>
  <c r="Q27" i="8"/>
  <c r="P27" i="8"/>
  <c r="O27" i="8"/>
  <c r="I27" i="8"/>
  <c r="J27" i="8" s="1"/>
  <c r="N27" i="8" s="1"/>
  <c r="Q26" i="8"/>
  <c r="P26" i="8"/>
  <c r="O26" i="8"/>
  <c r="I26" i="8"/>
  <c r="J26" i="8" s="1"/>
  <c r="N26" i="8" s="1"/>
  <c r="Q25" i="8"/>
  <c r="P25" i="8"/>
  <c r="O25" i="8"/>
  <c r="I25" i="8"/>
  <c r="J25" i="8" s="1"/>
  <c r="N25" i="8" s="1"/>
  <c r="Q24" i="8"/>
  <c r="P24" i="8"/>
  <c r="O24" i="8"/>
  <c r="I24" i="8"/>
  <c r="J24" i="8" s="1"/>
  <c r="N24" i="8" s="1"/>
  <c r="Q23" i="8"/>
  <c r="P23" i="8"/>
  <c r="O23" i="8"/>
  <c r="I23" i="8"/>
  <c r="J23" i="8" s="1"/>
  <c r="N23" i="8" s="1"/>
  <c r="Q22" i="8"/>
  <c r="P22" i="8"/>
  <c r="O22" i="8"/>
  <c r="I22" i="8"/>
  <c r="J22" i="8" s="1"/>
  <c r="N22" i="8" s="1"/>
  <c r="Q21" i="8"/>
  <c r="P21" i="8"/>
  <c r="O21" i="8"/>
  <c r="I21" i="8"/>
  <c r="J21" i="8" s="1"/>
  <c r="N21" i="8" s="1"/>
  <c r="Q40" i="8"/>
  <c r="P40" i="8"/>
  <c r="O40" i="8"/>
  <c r="I40" i="8"/>
  <c r="J40" i="8" s="1"/>
  <c r="N40" i="8" s="1"/>
  <c r="Q39" i="8"/>
  <c r="P39" i="8"/>
  <c r="O39" i="8"/>
  <c r="I39" i="8"/>
  <c r="J39" i="8" s="1"/>
  <c r="N39" i="8" s="1"/>
  <c r="Q38" i="8"/>
  <c r="P38" i="8"/>
  <c r="O38" i="8"/>
  <c r="I38" i="8"/>
  <c r="J38" i="8" s="1"/>
  <c r="N38" i="8" s="1"/>
  <c r="Q37" i="8"/>
  <c r="P37" i="8"/>
  <c r="O37" i="8"/>
  <c r="I37" i="8"/>
  <c r="J37" i="8" s="1"/>
  <c r="N37" i="8" s="1"/>
  <c r="Q36" i="8"/>
  <c r="P36" i="8"/>
  <c r="O36" i="8"/>
  <c r="I36" i="8"/>
  <c r="J36" i="8" s="1"/>
  <c r="N36" i="8" s="1"/>
  <c r="Q35" i="8"/>
  <c r="P35" i="8"/>
  <c r="O35" i="8"/>
  <c r="I35" i="8"/>
  <c r="J35" i="8" s="1"/>
  <c r="N35" i="8" s="1"/>
  <c r="Q34" i="8"/>
  <c r="P34" i="8"/>
  <c r="O34" i="8"/>
  <c r="I34" i="8"/>
  <c r="J34" i="8" s="1"/>
  <c r="N34" i="8" s="1"/>
  <c r="Q20" i="8"/>
  <c r="P20" i="8"/>
  <c r="O20" i="8"/>
  <c r="I20" i="8"/>
  <c r="J20" i="8" s="1"/>
  <c r="N20" i="8" s="1"/>
  <c r="Q19" i="8"/>
  <c r="P19" i="8"/>
  <c r="O19" i="8"/>
  <c r="I19" i="8"/>
  <c r="J19" i="8" s="1"/>
  <c r="N19" i="8" s="1"/>
  <c r="Q18" i="8"/>
  <c r="P18" i="8"/>
  <c r="O18" i="8"/>
  <c r="I18" i="8"/>
  <c r="J18" i="8" s="1"/>
  <c r="N18" i="8" s="1"/>
  <c r="Q17" i="8"/>
  <c r="P17" i="8"/>
  <c r="O17" i="8"/>
  <c r="I17" i="8"/>
  <c r="J17" i="8" s="1"/>
  <c r="N17" i="8" s="1"/>
  <c r="Q16" i="8"/>
  <c r="P16" i="8"/>
  <c r="O16" i="8"/>
  <c r="J16" i="8"/>
  <c r="N16" i="8" s="1"/>
  <c r="Q15" i="8"/>
  <c r="P15" i="8"/>
  <c r="O15" i="8"/>
  <c r="J15" i="8"/>
  <c r="N15" i="8" s="1"/>
  <c r="Q14" i="8"/>
  <c r="P14" i="8"/>
  <c r="O14" i="8"/>
  <c r="J14" i="8"/>
  <c r="N14" i="8" s="1"/>
  <c r="Q13" i="8"/>
  <c r="P13" i="8"/>
  <c r="O13" i="8"/>
  <c r="J13" i="8"/>
  <c r="N13" i="8" s="1"/>
  <c r="Q12" i="8"/>
  <c r="P12" i="8"/>
  <c r="O12" i="8"/>
  <c r="J12" i="8"/>
  <c r="N12" i="8" s="1"/>
  <c r="Q11" i="8"/>
  <c r="P11" i="8"/>
  <c r="O11" i="8"/>
  <c r="J11" i="8"/>
  <c r="N11" i="8" s="1"/>
  <c r="Q10" i="8"/>
  <c r="P10" i="8"/>
  <c r="O10" i="8"/>
  <c r="J10" i="8"/>
  <c r="N10" i="8" s="1"/>
  <c r="Q42" i="7"/>
  <c r="P42" i="7"/>
  <c r="O42" i="7"/>
  <c r="I42" i="7"/>
  <c r="J42" i="7" s="1"/>
  <c r="N42" i="7" s="1"/>
  <c r="Q43" i="7"/>
  <c r="P43" i="7"/>
  <c r="O43" i="7"/>
  <c r="I43" i="7"/>
  <c r="J43" i="7" s="1"/>
  <c r="N43" i="7" s="1"/>
  <c r="Q41" i="7"/>
  <c r="P41" i="7"/>
  <c r="O41" i="7"/>
  <c r="I41" i="7"/>
  <c r="J41" i="7" s="1"/>
  <c r="N41" i="7" s="1"/>
  <c r="Q40" i="7"/>
  <c r="P40" i="7"/>
  <c r="O40" i="7"/>
  <c r="I40" i="7"/>
  <c r="J40" i="7" s="1"/>
  <c r="N40" i="7" s="1"/>
  <c r="Q39" i="7"/>
  <c r="P39" i="7"/>
  <c r="O39" i="7"/>
  <c r="I39" i="7"/>
  <c r="J39" i="7" s="1"/>
  <c r="N39" i="7" s="1"/>
  <c r="Q38" i="7"/>
  <c r="P38" i="7"/>
  <c r="O38" i="7"/>
  <c r="I38" i="7"/>
  <c r="J38" i="7" s="1"/>
  <c r="N38" i="7" s="1"/>
  <c r="Q37" i="7"/>
  <c r="P37" i="7"/>
  <c r="O37" i="7"/>
  <c r="I37" i="7"/>
  <c r="J37" i="7" s="1"/>
  <c r="N37" i="7" s="1"/>
  <c r="Q36" i="7"/>
  <c r="P36" i="7"/>
  <c r="O36" i="7"/>
  <c r="I36" i="7"/>
  <c r="J36" i="7" s="1"/>
  <c r="N36" i="7" s="1"/>
  <c r="Q35" i="7"/>
  <c r="P35" i="7"/>
  <c r="O35" i="7"/>
  <c r="I35" i="7"/>
  <c r="J35" i="7" s="1"/>
  <c r="N35" i="7" s="1"/>
  <c r="Q34" i="7"/>
  <c r="P34" i="7"/>
  <c r="O34" i="7"/>
  <c r="I34" i="7"/>
  <c r="J34" i="7" s="1"/>
  <c r="N34" i="7" s="1"/>
  <c r="Q33" i="7"/>
  <c r="P33" i="7"/>
  <c r="O33" i="7"/>
  <c r="I33" i="7"/>
  <c r="J33" i="7" s="1"/>
  <c r="N33" i="7" s="1"/>
  <c r="Q32" i="7"/>
  <c r="P32" i="7"/>
  <c r="O32" i="7"/>
  <c r="I32" i="7"/>
  <c r="J32" i="7" s="1"/>
  <c r="N32" i="7" s="1"/>
  <c r="Q31" i="7"/>
  <c r="P31" i="7"/>
  <c r="O31" i="7"/>
  <c r="I31" i="7"/>
  <c r="J31" i="7" s="1"/>
  <c r="N31" i="7" s="1"/>
  <c r="Q30" i="7"/>
  <c r="P30" i="7"/>
  <c r="O30" i="7"/>
  <c r="I30" i="7"/>
  <c r="J30" i="7" s="1"/>
  <c r="N30" i="7" s="1"/>
  <c r="Q27" i="7"/>
  <c r="P27" i="7"/>
  <c r="O27" i="7"/>
  <c r="I27" i="7"/>
  <c r="J27" i="7" s="1"/>
  <c r="N27" i="7" s="1"/>
  <c r="Q26" i="7"/>
  <c r="P26" i="7"/>
  <c r="O26" i="7"/>
  <c r="I26" i="7"/>
  <c r="J26" i="7" s="1"/>
  <c r="N26" i="7" s="1"/>
  <c r="Q25" i="7"/>
  <c r="P25" i="7"/>
  <c r="O25" i="7"/>
  <c r="I25" i="7"/>
  <c r="J25" i="7" s="1"/>
  <c r="N25" i="7" s="1"/>
  <c r="Q24" i="7"/>
  <c r="P24" i="7"/>
  <c r="O24" i="7"/>
  <c r="I24" i="7"/>
  <c r="J24" i="7" s="1"/>
  <c r="N24" i="7" s="1"/>
  <c r="Q23" i="7"/>
  <c r="P23" i="7"/>
  <c r="O23" i="7"/>
  <c r="I23" i="7"/>
  <c r="J23" i="7" s="1"/>
  <c r="N23" i="7" s="1"/>
  <c r="Q22" i="7"/>
  <c r="P22" i="7"/>
  <c r="O22" i="7"/>
  <c r="I22" i="7"/>
  <c r="J22" i="7" s="1"/>
  <c r="N22" i="7" s="1"/>
  <c r="Q21" i="7"/>
  <c r="P21" i="7"/>
  <c r="O21" i="7"/>
  <c r="I21" i="7"/>
  <c r="J21" i="7" s="1"/>
  <c r="N21" i="7" s="1"/>
  <c r="Q20" i="7"/>
  <c r="P20" i="7"/>
  <c r="O20" i="7"/>
  <c r="I20" i="7"/>
  <c r="J20" i="7" s="1"/>
  <c r="N20" i="7" s="1"/>
  <c r="Q19" i="7"/>
  <c r="P19" i="7"/>
  <c r="O19" i="7"/>
  <c r="I19" i="7"/>
  <c r="J19" i="7" s="1"/>
  <c r="N19" i="7" s="1"/>
  <c r="Q18" i="7"/>
  <c r="P18" i="7"/>
  <c r="O18" i="7"/>
  <c r="I18" i="7"/>
  <c r="J18" i="7" s="1"/>
  <c r="N18" i="7" s="1"/>
  <c r="Q17" i="7"/>
  <c r="P17" i="7"/>
  <c r="O17" i="7"/>
  <c r="I17" i="7"/>
  <c r="J17" i="7" s="1"/>
  <c r="N17" i="7" s="1"/>
  <c r="Q16" i="7"/>
  <c r="P16" i="7"/>
  <c r="O16" i="7"/>
  <c r="I16" i="7"/>
  <c r="J16" i="7" s="1"/>
  <c r="N16" i="7" s="1"/>
  <c r="Q15" i="7"/>
  <c r="P15" i="7"/>
  <c r="O15" i="7"/>
  <c r="J15" i="7"/>
  <c r="N15" i="7" s="1"/>
  <c r="Q14" i="7"/>
  <c r="P14" i="7"/>
  <c r="O14" i="7"/>
  <c r="J14" i="7"/>
  <c r="N14" i="7" s="1"/>
  <c r="Q13" i="7"/>
  <c r="P13" i="7"/>
  <c r="O13" i="7"/>
  <c r="J13" i="7"/>
  <c r="N13" i="7" s="1"/>
  <c r="Q12" i="7"/>
  <c r="P12" i="7"/>
  <c r="O12" i="7"/>
  <c r="J12" i="7"/>
  <c r="N12" i="7" s="1"/>
  <c r="R18" i="8" l="1"/>
  <c r="R31" i="8"/>
  <c r="R37" i="9"/>
  <c r="R39" i="9"/>
  <c r="R45" i="9"/>
  <c r="R47" i="9"/>
  <c r="R53" i="9"/>
  <c r="R38" i="23"/>
  <c r="R42" i="23"/>
  <c r="R46" i="23"/>
  <c r="R48" i="23"/>
  <c r="R17" i="19"/>
  <c r="R33" i="19"/>
  <c r="R37" i="19"/>
  <c r="R39" i="19"/>
  <c r="R41" i="19"/>
  <c r="R19" i="17"/>
  <c r="R23" i="17"/>
  <c r="R27" i="17"/>
  <c r="R33" i="17"/>
  <c r="R35" i="17"/>
  <c r="R39" i="17"/>
  <c r="R17" i="20"/>
  <c r="R19" i="20"/>
  <c r="R21" i="20"/>
  <c r="R23" i="20"/>
  <c r="R25" i="20"/>
  <c r="R27" i="20"/>
  <c r="R36" i="24"/>
  <c r="R38" i="9"/>
  <c r="R40" i="9"/>
  <c r="R42" i="9"/>
  <c r="R46" i="9"/>
  <c r="R48" i="9"/>
  <c r="R50" i="9"/>
  <c r="R54" i="9"/>
  <c r="R29" i="23"/>
  <c r="R31" i="23"/>
  <c r="R33" i="23"/>
  <c r="R35" i="23"/>
  <c r="R37" i="23"/>
  <c r="R45" i="23"/>
  <c r="R47" i="23"/>
  <c r="R18" i="19"/>
  <c r="R32" i="19"/>
  <c r="R42" i="19"/>
  <c r="R44" i="19"/>
  <c r="R14" i="17"/>
  <c r="R32" i="17"/>
  <c r="R36" i="17"/>
  <c r="R38" i="17"/>
  <c r="R40" i="17"/>
  <c r="R16" i="20"/>
  <c r="R18" i="20"/>
  <c r="R22" i="20"/>
  <c r="R24" i="20"/>
  <c r="R26" i="20"/>
  <c r="R28" i="20"/>
  <c r="R32" i="20"/>
  <c r="R34" i="20"/>
  <c r="R36" i="20"/>
  <c r="R40" i="20"/>
  <c r="R42" i="20"/>
  <c r="R44" i="20"/>
  <c r="R29" i="21"/>
  <c r="R37" i="21"/>
  <c r="R39" i="21"/>
  <c r="R41" i="21"/>
  <c r="R43" i="21"/>
  <c r="R32" i="24"/>
  <c r="R29" i="20"/>
  <c r="R31" i="20"/>
  <c r="R35" i="20"/>
  <c r="R18" i="21"/>
  <c r="R32" i="21"/>
  <c r="R34" i="21"/>
  <c r="R36" i="21"/>
  <c r="R42" i="21"/>
  <c r="R46" i="21"/>
  <c r="R55" i="18"/>
  <c r="R33" i="18"/>
  <c r="R35" i="18"/>
  <c r="R31" i="10"/>
  <c r="R33" i="10"/>
  <c r="R37" i="10"/>
  <c r="R39" i="10"/>
  <c r="R41" i="10"/>
  <c r="R45" i="10"/>
  <c r="R47" i="10"/>
  <c r="R49" i="10"/>
  <c r="R53" i="10"/>
  <c r="R55" i="10"/>
  <c r="R31" i="25"/>
  <c r="R33" i="25"/>
  <c r="R39" i="25"/>
  <c r="R41" i="25"/>
  <c r="R43" i="25"/>
  <c r="R49" i="25"/>
  <c r="R12" i="17"/>
  <c r="R13" i="24"/>
  <c r="R13" i="17"/>
  <c r="R53" i="25"/>
  <c r="R33" i="16"/>
  <c r="R35" i="16"/>
  <c r="R41" i="16"/>
  <c r="R49" i="16"/>
  <c r="R51" i="16"/>
  <c r="R29" i="9"/>
  <c r="R31" i="9"/>
  <c r="R10" i="24"/>
  <c r="R34" i="24"/>
  <c r="R43" i="18"/>
  <c r="R32" i="18"/>
  <c r="R34" i="18"/>
  <c r="R36" i="18"/>
  <c r="R26" i="25"/>
  <c r="R28" i="25"/>
  <c r="R34" i="25"/>
  <c r="R36" i="25"/>
  <c r="R44" i="25"/>
  <c r="R46" i="25"/>
  <c r="R48" i="25"/>
  <c r="R50" i="25"/>
  <c r="R30" i="16"/>
  <c r="R32" i="16"/>
  <c r="R34" i="16"/>
  <c r="R42" i="16"/>
  <c r="R44" i="16"/>
  <c r="R46" i="16"/>
  <c r="R48" i="16"/>
  <c r="R50" i="16"/>
  <c r="R30" i="9"/>
  <c r="R32" i="9"/>
  <c r="R34" i="9"/>
  <c r="R34" i="10"/>
  <c r="R36" i="10"/>
  <c r="R38" i="10"/>
  <c r="R42" i="10"/>
  <c r="R44" i="10"/>
  <c r="R50" i="10"/>
  <c r="R52" i="10"/>
  <c r="R30" i="8"/>
  <c r="R32" i="8"/>
  <c r="R36" i="8"/>
  <c r="R30" i="7"/>
  <c r="R32" i="7"/>
  <c r="R40" i="7"/>
  <c r="R18" i="7"/>
  <c r="R25" i="25"/>
  <c r="R24" i="7"/>
  <c r="R26" i="7"/>
  <c r="R21" i="8"/>
  <c r="R21" i="23"/>
  <c r="R20" i="19"/>
  <c r="R22" i="21"/>
  <c r="R24" i="21"/>
  <c r="R26" i="21"/>
  <c r="R28" i="21"/>
  <c r="R22" i="17"/>
  <c r="R24" i="17"/>
  <c r="R28" i="17"/>
  <c r="R22" i="8"/>
  <c r="R26" i="8"/>
  <c r="R28" i="8"/>
  <c r="R26" i="16"/>
  <c r="R28" i="16"/>
  <c r="R28" i="23"/>
  <c r="R25" i="19"/>
  <c r="R27" i="21"/>
  <c r="R11" i="8"/>
  <c r="R28" i="9"/>
  <c r="R24" i="23"/>
  <c r="R24" i="8"/>
  <c r="R19" i="24"/>
  <c r="R21" i="24"/>
  <c r="R15" i="24"/>
  <c r="R19" i="23"/>
  <c r="R26" i="23"/>
  <c r="R17" i="17"/>
  <c r="R20" i="17"/>
  <c r="R25" i="17"/>
  <c r="R20" i="21"/>
  <c r="R25" i="21"/>
  <c r="R12" i="24"/>
  <c r="R16" i="17"/>
  <c r="R17" i="21"/>
  <c r="R24" i="24"/>
  <c r="R14" i="24"/>
  <c r="R20" i="23"/>
  <c r="R24" i="19"/>
  <c r="R18" i="17"/>
  <c r="R21" i="17"/>
  <c r="R26" i="17"/>
  <c r="R19" i="21"/>
  <c r="R21" i="21"/>
  <c r="R23" i="21"/>
  <c r="R15" i="17"/>
  <c r="R20" i="20"/>
  <c r="R54" i="18"/>
  <c r="R46" i="18"/>
  <c r="R29" i="18"/>
  <c r="R26" i="10"/>
  <c r="R38" i="25"/>
  <c r="R37" i="16"/>
  <c r="R53" i="16"/>
  <c r="R40" i="23"/>
  <c r="R22" i="19"/>
  <c r="R27" i="19"/>
  <c r="R37" i="20"/>
  <c r="R39" i="20"/>
  <c r="R41" i="20"/>
  <c r="R31" i="21"/>
  <c r="R43" i="7"/>
  <c r="R29" i="8"/>
  <c r="R28" i="10"/>
  <c r="R30" i="25"/>
  <c r="R51" i="25"/>
  <c r="R39" i="16"/>
  <c r="R55" i="16"/>
  <c r="R23" i="23"/>
  <c r="R44" i="23"/>
  <c r="R29" i="19"/>
  <c r="R34" i="19"/>
  <c r="R36" i="19"/>
  <c r="R30" i="17"/>
  <c r="R43" i="20"/>
  <c r="R44" i="21"/>
  <c r="R47" i="18"/>
  <c r="R33" i="8"/>
  <c r="R30" i="10"/>
  <c r="R40" i="10"/>
  <c r="R43" i="10"/>
  <c r="R36" i="9"/>
  <c r="R44" i="9"/>
  <c r="R52" i="9"/>
  <c r="R55" i="9"/>
  <c r="R25" i="23"/>
  <c r="R30" i="23"/>
  <c r="R31" i="19"/>
  <c r="R38" i="19"/>
  <c r="R43" i="19"/>
  <c r="R31" i="7"/>
  <c r="R33" i="7"/>
  <c r="R31" i="18"/>
  <c r="R37" i="18"/>
  <c r="R32" i="10"/>
  <c r="R35" i="10"/>
  <c r="R46" i="10"/>
  <c r="R48" i="10"/>
  <c r="R51" i="10"/>
  <c r="R35" i="25"/>
  <c r="R40" i="25"/>
  <c r="R45" i="25"/>
  <c r="R27" i="16"/>
  <c r="R36" i="16"/>
  <c r="R43" i="16"/>
  <c r="R52" i="16"/>
  <c r="R27" i="9"/>
  <c r="R33" i="9"/>
  <c r="R35" i="9"/>
  <c r="R41" i="9"/>
  <c r="R43" i="9"/>
  <c r="R49" i="9"/>
  <c r="R51" i="9"/>
  <c r="R27" i="23"/>
  <c r="R32" i="23"/>
  <c r="R39" i="23"/>
  <c r="R19" i="19"/>
  <c r="R40" i="19"/>
  <c r="R45" i="19"/>
  <c r="R41" i="17"/>
  <c r="R30" i="20"/>
  <c r="R33" i="20"/>
  <c r="R33" i="21"/>
  <c r="R38" i="21"/>
  <c r="R35" i="7"/>
  <c r="R37" i="7"/>
  <c r="R39" i="7"/>
  <c r="R38" i="18"/>
  <c r="R30" i="18"/>
  <c r="R27" i="10"/>
  <c r="R54" i="10"/>
  <c r="R27" i="25"/>
  <c r="R32" i="25"/>
  <c r="R37" i="25"/>
  <c r="R29" i="16"/>
  <c r="R38" i="16"/>
  <c r="R45" i="16"/>
  <c r="R54" i="16"/>
  <c r="R34" i="23"/>
  <c r="R36" i="23"/>
  <c r="R41" i="23"/>
  <c r="R16" i="19"/>
  <c r="R21" i="19"/>
  <c r="R26" i="19"/>
  <c r="R28" i="19"/>
  <c r="R29" i="17"/>
  <c r="R34" i="17"/>
  <c r="R37" i="17"/>
  <c r="R38" i="20"/>
  <c r="R45" i="20"/>
  <c r="R30" i="21"/>
  <c r="R41" i="7"/>
  <c r="R42" i="7"/>
  <c r="R33" i="24"/>
  <c r="R49" i="18"/>
  <c r="R41" i="18"/>
  <c r="R29" i="10"/>
  <c r="R24" i="25"/>
  <c r="R29" i="25"/>
  <c r="R42" i="25"/>
  <c r="R47" i="25"/>
  <c r="R52" i="25"/>
  <c r="R31" i="16"/>
  <c r="R40" i="16"/>
  <c r="R47" i="16"/>
  <c r="R26" i="9"/>
  <c r="R22" i="23"/>
  <c r="R43" i="23"/>
  <c r="R23" i="19"/>
  <c r="R30" i="19"/>
  <c r="R35" i="19"/>
  <c r="R31" i="17"/>
  <c r="R35" i="21"/>
  <c r="R40" i="21"/>
  <c r="R45" i="21"/>
  <c r="R53" i="18"/>
  <c r="R45" i="18"/>
  <c r="R28" i="18"/>
  <c r="R39" i="18"/>
  <c r="R51" i="18"/>
  <c r="R26" i="18"/>
  <c r="R40" i="18"/>
  <c r="R48" i="18"/>
  <c r="R42" i="18"/>
  <c r="R50" i="18"/>
  <c r="R27" i="18"/>
  <c r="R44" i="18"/>
  <c r="R52" i="18"/>
  <c r="R27" i="24"/>
  <c r="R29" i="24"/>
  <c r="R11" i="24"/>
  <c r="R18" i="24"/>
  <c r="R22" i="24"/>
  <c r="R35" i="24"/>
  <c r="R37" i="24"/>
  <c r="R17" i="24"/>
  <c r="R28" i="24"/>
  <c r="R16" i="24"/>
  <c r="R26" i="24"/>
  <c r="R31" i="24"/>
  <c r="R9" i="24"/>
  <c r="R23" i="24"/>
  <c r="R38" i="24"/>
  <c r="R20" i="24"/>
  <c r="R25" i="24"/>
  <c r="R30" i="24"/>
  <c r="R13" i="8"/>
  <c r="R15" i="8"/>
  <c r="R23" i="8"/>
  <c r="R34" i="8"/>
  <c r="R25" i="8"/>
  <c r="R27" i="8"/>
  <c r="R39" i="8"/>
  <c r="R20" i="8"/>
  <c r="R10" i="8"/>
  <c r="R17" i="8"/>
  <c r="R35" i="8"/>
  <c r="R37" i="8"/>
  <c r="R12" i="8"/>
  <c r="R14" i="8"/>
  <c r="R38" i="8"/>
  <c r="R19" i="8"/>
  <c r="R16" i="8"/>
  <c r="R40" i="8"/>
  <c r="R14" i="7"/>
  <c r="R19" i="7"/>
  <c r="R21" i="7"/>
  <c r="R12" i="7"/>
  <c r="R25" i="7"/>
  <c r="R27" i="7"/>
  <c r="R34" i="7"/>
  <c r="R36" i="7"/>
  <c r="R38" i="7"/>
  <c r="R16" i="7"/>
  <c r="R23" i="7"/>
  <c r="R13" i="7"/>
  <c r="R15" i="7"/>
  <c r="R20" i="7"/>
  <c r="R17" i="7"/>
  <c r="R22" i="7"/>
  <c r="Q68" i="8"/>
  <c r="R68" i="8" s="1"/>
  <c r="Q68" i="18"/>
  <c r="R68" i="18" s="1"/>
  <c r="Q68" i="10"/>
  <c r="R68" i="10" s="1"/>
  <c r="Q68" i="25"/>
  <c r="R68" i="25" s="1"/>
  <c r="Q68" i="16"/>
  <c r="R68" i="16" s="1"/>
  <c r="Q68" i="9"/>
  <c r="R68" i="9" s="1"/>
  <c r="Q68" i="23"/>
  <c r="R68" i="23" s="1"/>
  <c r="Q68" i="19"/>
  <c r="R68" i="19" s="1"/>
  <c r="Q68" i="17"/>
  <c r="R68" i="17" s="1"/>
  <c r="Q68" i="20"/>
  <c r="R68" i="20" s="1"/>
  <c r="Q68" i="21"/>
  <c r="R68" i="21" s="1"/>
  <c r="Q67" i="8"/>
  <c r="R67" i="8" s="1"/>
  <c r="Q67" i="18"/>
  <c r="R67" i="18" s="1"/>
  <c r="Q67" i="10"/>
  <c r="R67" i="10" s="1"/>
  <c r="Q67" i="25"/>
  <c r="R67" i="25" s="1"/>
  <c r="Q67" i="16"/>
  <c r="R67" i="16" s="1"/>
  <c r="Q67" i="9"/>
  <c r="R67" i="9" s="1"/>
  <c r="Q67" i="23"/>
  <c r="R67" i="23" s="1"/>
  <c r="Q67" i="19"/>
  <c r="R67" i="19" s="1"/>
  <c r="Q67" i="17"/>
  <c r="R67" i="17" s="1"/>
  <c r="Q67" i="20"/>
  <c r="R67" i="20" s="1"/>
  <c r="Q67" i="21"/>
  <c r="R67" i="21" s="1"/>
  <c r="I58" i="8"/>
  <c r="J58" i="8" s="1"/>
  <c r="N58" i="8" s="1"/>
  <c r="I57" i="8"/>
  <c r="J57" i="8" s="1"/>
  <c r="N57" i="8" s="1"/>
  <c r="I56" i="8"/>
  <c r="J56" i="8" s="1"/>
  <c r="N56" i="8" s="1"/>
  <c r="I55" i="8"/>
  <c r="J55" i="8" s="1"/>
  <c r="N55" i="8" s="1"/>
  <c r="I54" i="8"/>
  <c r="J54" i="8" s="1"/>
  <c r="N54" i="8" s="1"/>
  <c r="I53" i="8"/>
  <c r="J53" i="8" s="1"/>
  <c r="N53" i="8" s="1"/>
  <c r="I52" i="8"/>
  <c r="J52" i="8" s="1"/>
  <c r="N52" i="8" s="1"/>
  <c r="I51" i="8"/>
  <c r="J51" i="8" s="1"/>
  <c r="N51" i="8" s="1"/>
  <c r="I50" i="8"/>
  <c r="J50" i="8" s="1"/>
  <c r="N50" i="8" s="1"/>
  <c r="I49" i="8"/>
  <c r="J49" i="8" s="1"/>
  <c r="N49" i="8" s="1"/>
  <c r="I48" i="8"/>
  <c r="J48" i="8" s="1"/>
  <c r="N48" i="8" s="1"/>
  <c r="I47" i="8"/>
  <c r="J47" i="8" s="1"/>
  <c r="N47" i="8" s="1"/>
  <c r="I46" i="8"/>
  <c r="J46" i="8" s="1"/>
  <c r="N46" i="8" s="1"/>
  <c r="I45" i="8"/>
  <c r="J45" i="8" s="1"/>
  <c r="N45" i="8" s="1"/>
  <c r="I44" i="8"/>
  <c r="J44" i="8" s="1"/>
  <c r="N44" i="8" s="1"/>
  <c r="I43" i="8"/>
  <c r="J43" i="8" s="1"/>
  <c r="N43" i="8" s="1"/>
  <c r="I42" i="8"/>
  <c r="J42" i="8" s="1"/>
  <c r="N42" i="8" s="1"/>
  <c r="I41" i="8"/>
  <c r="J41" i="8" s="1"/>
  <c r="N41" i="8" s="1"/>
  <c r="I58" i="24"/>
  <c r="J58" i="24" s="1"/>
  <c r="N58" i="24" s="1"/>
  <c r="I57" i="24"/>
  <c r="J57" i="24" s="1"/>
  <c r="N57" i="24" s="1"/>
  <c r="I56" i="24"/>
  <c r="J56" i="24" s="1"/>
  <c r="N56" i="24" s="1"/>
  <c r="I55" i="24"/>
  <c r="J55" i="24" s="1"/>
  <c r="N55" i="24" s="1"/>
  <c r="I54" i="24"/>
  <c r="J54" i="24" s="1"/>
  <c r="N54" i="24" s="1"/>
  <c r="I53" i="24"/>
  <c r="J53" i="24" s="1"/>
  <c r="N53" i="24" s="1"/>
  <c r="I52" i="24"/>
  <c r="J52" i="24" s="1"/>
  <c r="N52" i="24" s="1"/>
  <c r="I51" i="24"/>
  <c r="J51" i="24" s="1"/>
  <c r="N51" i="24" s="1"/>
  <c r="I50" i="24"/>
  <c r="J50" i="24" s="1"/>
  <c r="N50" i="24" s="1"/>
  <c r="I49" i="24"/>
  <c r="J49" i="24" s="1"/>
  <c r="N49" i="24" s="1"/>
  <c r="I48" i="24"/>
  <c r="J48" i="24" s="1"/>
  <c r="N48" i="24" s="1"/>
  <c r="J47" i="24"/>
  <c r="N47" i="24" s="1"/>
  <c r="J46" i="24"/>
  <c r="N46" i="24" s="1"/>
  <c r="J44" i="24"/>
  <c r="N44" i="24" s="1"/>
  <c r="J43" i="24"/>
  <c r="N43" i="24" s="1"/>
  <c r="J42" i="24"/>
  <c r="N42" i="24" s="1"/>
  <c r="J41" i="24"/>
  <c r="N41" i="24" s="1"/>
  <c r="J40" i="24"/>
  <c r="N40" i="24" s="1"/>
  <c r="J57" i="18"/>
  <c r="N57" i="18" s="1"/>
  <c r="J25" i="18"/>
  <c r="N25" i="18" s="1"/>
  <c r="J24" i="18"/>
  <c r="N24" i="18" s="1"/>
  <c r="J23" i="18"/>
  <c r="N23" i="18" s="1"/>
  <c r="I20" i="18"/>
  <c r="J20" i="18" s="1"/>
  <c r="N20" i="18" s="1"/>
  <c r="I19" i="18"/>
  <c r="J19" i="18" s="1"/>
  <c r="N19" i="18" s="1"/>
  <c r="I18" i="18"/>
  <c r="J18" i="18" s="1"/>
  <c r="N18" i="18" s="1"/>
  <c r="I17" i="18"/>
  <c r="J17" i="18" s="1"/>
  <c r="N17" i="18" s="1"/>
  <c r="I16" i="18"/>
  <c r="J16" i="18" s="1"/>
  <c r="N16" i="18" s="1"/>
  <c r="I15" i="18"/>
  <c r="J15" i="18" s="1"/>
  <c r="N15" i="18" s="1"/>
  <c r="I14" i="18"/>
  <c r="J14" i="18" s="1"/>
  <c r="N14" i="18" s="1"/>
  <c r="I13" i="18"/>
  <c r="J13" i="18" s="1"/>
  <c r="N13" i="18" s="1"/>
  <c r="I12" i="18"/>
  <c r="J12" i="18" s="1"/>
  <c r="N12" i="18" s="1"/>
  <c r="I11" i="18"/>
  <c r="J11" i="18" s="1"/>
  <c r="N11" i="18" s="1"/>
  <c r="I10" i="18"/>
  <c r="J10" i="18" s="1"/>
  <c r="N10" i="18" s="1"/>
  <c r="I58" i="10"/>
  <c r="J58" i="10" s="1"/>
  <c r="N58" i="10" s="1"/>
  <c r="I57" i="10"/>
  <c r="J57" i="10" s="1"/>
  <c r="N57" i="10" s="1"/>
  <c r="I56" i="10"/>
  <c r="J56" i="10" s="1"/>
  <c r="N56" i="10" s="1"/>
  <c r="I25" i="10"/>
  <c r="J25" i="10" s="1"/>
  <c r="N25" i="10" s="1"/>
  <c r="I24" i="10"/>
  <c r="J24" i="10" s="1"/>
  <c r="N24" i="10" s="1"/>
  <c r="I23" i="10"/>
  <c r="J23" i="10" s="1"/>
  <c r="N23" i="10" s="1"/>
  <c r="I22" i="10"/>
  <c r="J22" i="10" s="1"/>
  <c r="N22" i="10" s="1"/>
  <c r="I21" i="10"/>
  <c r="J21" i="10" s="1"/>
  <c r="N21" i="10" s="1"/>
  <c r="I20" i="10"/>
  <c r="J20" i="10" s="1"/>
  <c r="N20" i="10" s="1"/>
  <c r="I19" i="10"/>
  <c r="J19" i="10" s="1"/>
  <c r="N19" i="10" s="1"/>
  <c r="I18" i="10"/>
  <c r="J18" i="10" s="1"/>
  <c r="N18" i="10" s="1"/>
  <c r="I17" i="10"/>
  <c r="J17" i="10" s="1"/>
  <c r="N17" i="10" s="1"/>
  <c r="I16" i="10"/>
  <c r="J16" i="10" s="1"/>
  <c r="N16" i="10" s="1"/>
  <c r="I15" i="10"/>
  <c r="J15" i="10" s="1"/>
  <c r="N15" i="10" s="1"/>
  <c r="I14" i="10"/>
  <c r="J14" i="10" s="1"/>
  <c r="N14" i="10" s="1"/>
  <c r="I13" i="10"/>
  <c r="J13" i="10" s="1"/>
  <c r="N13" i="10" s="1"/>
  <c r="I12" i="10"/>
  <c r="J12" i="10" s="1"/>
  <c r="N12" i="10" s="1"/>
  <c r="I11" i="10"/>
  <c r="J11" i="10" s="1"/>
  <c r="N11" i="10" s="1"/>
  <c r="I10" i="10"/>
  <c r="J10" i="10" s="1"/>
  <c r="N10" i="10" s="1"/>
  <c r="I58" i="25"/>
  <c r="J58" i="25" s="1"/>
  <c r="N58" i="25" s="1"/>
  <c r="I57" i="25"/>
  <c r="J57" i="25" s="1"/>
  <c r="N57" i="25" s="1"/>
  <c r="I56" i="25"/>
  <c r="J56" i="25" s="1"/>
  <c r="N56" i="25" s="1"/>
  <c r="I55" i="25"/>
  <c r="J55" i="25" s="1"/>
  <c r="N55" i="25" s="1"/>
  <c r="I54" i="25"/>
  <c r="J54" i="25" s="1"/>
  <c r="N54" i="25" s="1"/>
  <c r="I23" i="25"/>
  <c r="J23" i="25" s="1"/>
  <c r="N23" i="25" s="1"/>
  <c r="I22" i="25"/>
  <c r="J22" i="25" s="1"/>
  <c r="N22" i="25" s="1"/>
  <c r="I21" i="25"/>
  <c r="J21" i="25" s="1"/>
  <c r="N21" i="25" s="1"/>
  <c r="I20" i="25"/>
  <c r="J20" i="25" s="1"/>
  <c r="N20" i="25" s="1"/>
  <c r="I19" i="25"/>
  <c r="J19" i="25" s="1"/>
  <c r="N19" i="25" s="1"/>
  <c r="I18" i="25"/>
  <c r="J18" i="25" s="1"/>
  <c r="N18" i="25" s="1"/>
  <c r="I17" i="25"/>
  <c r="J17" i="25" s="1"/>
  <c r="N17" i="25" s="1"/>
  <c r="I16" i="25"/>
  <c r="J16" i="25" s="1"/>
  <c r="N16" i="25" s="1"/>
  <c r="I15" i="25"/>
  <c r="J15" i="25" s="1"/>
  <c r="N15" i="25" s="1"/>
  <c r="I14" i="25"/>
  <c r="J14" i="25" s="1"/>
  <c r="N14" i="25" s="1"/>
  <c r="I13" i="25"/>
  <c r="J13" i="25" s="1"/>
  <c r="N13" i="25" s="1"/>
  <c r="I12" i="25"/>
  <c r="J12" i="25" s="1"/>
  <c r="N12" i="25" s="1"/>
  <c r="I11" i="25"/>
  <c r="J11" i="25" s="1"/>
  <c r="N11" i="25" s="1"/>
  <c r="I10" i="25"/>
  <c r="J10" i="25" s="1"/>
  <c r="N10" i="25" s="1"/>
  <c r="I58" i="16"/>
  <c r="J58" i="16" s="1"/>
  <c r="N58" i="16" s="1"/>
  <c r="I57" i="16"/>
  <c r="J57" i="16" s="1"/>
  <c r="N57" i="16" s="1"/>
  <c r="I56" i="16"/>
  <c r="J56" i="16" s="1"/>
  <c r="N56" i="16" s="1"/>
  <c r="I25" i="16"/>
  <c r="J25" i="16" s="1"/>
  <c r="N25" i="16" s="1"/>
  <c r="I24" i="16"/>
  <c r="J24" i="16" s="1"/>
  <c r="N24" i="16" s="1"/>
  <c r="I23" i="16"/>
  <c r="J23" i="16" s="1"/>
  <c r="N23" i="16" s="1"/>
  <c r="I22" i="16"/>
  <c r="J22" i="16" s="1"/>
  <c r="N22" i="16" s="1"/>
  <c r="I21" i="16"/>
  <c r="J21" i="16" s="1"/>
  <c r="N21" i="16" s="1"/>
  <c r="I20" i="16"/>
  <c r="J20" i="16" s="1"/>
  <c r="N20" i="16" s="1"/>
  <c r="I19" i="16"/>
  <c r="J19" i="16" s="1"/>
  <c r="N19" i="16" s="1"/>
  <c r="I18" i="16"/>
  <c r="J18" i="16" s="1"/>
  <c r="N18" i="16" s="1"/>
  <c r="I17" i="16"/>
  <c r="J17" i="16" s="1"/>
  <c r="N17" i="16" s="1"/>
  <c r="I16" i="16"/>
  <c r="J16" i="16" s="1"/>
  <c r="N16" i="16" s="1"/>
  <c r="I15" i="16"/>
  <c r="J15" i="16" s="1"/>
  <c r="N15" i="16" s="1"/>
  <c r="I14" i="16"/>
  <c r="J14" i="16" s="1"/>
  <c r="N14" i="16" s="1"/>
  <c r="I13" i="16"/>
  <c r="J13" i="16" s="1"/>
  <c r="N13" i="16" s="1"/>
  <c r="I12" i="16"/>
  <c r="J12" i="16" s="1"/>
  <c r="N12" i="16" s="1"/>
  <c r="I11" i="16"/>
  <c r="J11" i="16" s="1"/>
  <c r="N11" i="16" s="1"/>
  <c r="I10" i="16"/>
  <c r="J10" i="16" s="1"/>
  <c r="N10" i="16" s="1"/>
  <c r="I58" i="9"/>
  <c r="J58" i="9" s="1"/>
  <c r="N58" i="9" s="1"/>
  <c r="I57" i="9"/>
  <c r="J57" i="9" s="1"/>
  <c r="N57" i="9" s="1"/>
  <c r="I56" i="9"/>
  <c r="J56" i="9" s="1"/>
  <c r="N56" i="9" s="1"/>
  <c r="I25" i="9"/>
  <c r="J25" i="9" s="1"/>
  <c r="N25" i="9" s="1"/>
  <c r="I24" i="9"/>
  <c r="J24" i="9" s="1"/>
  <c r="N24" i="9" s="1"/>
  <c r="I23" i="9"/>
  <c r="J23" i="9" s="1"/>
  <c r="N23" i="9" s="1"/>
  <c r="I22" i="9"/>
  <c r="J22" i="9" s="1"/>
  <c r="N22" i="9" s="1"/>
  <c r="I21" i="9"/>
  <c r="J21" i="9" s="1"/>
  <c r="N21" i="9" s="1"/>
  <c r="I20" i="9"/>
  <c r="J20" i="9" s="1"/>
  <c r="N20" i="9" s="1"/>
  <c r="I19" i="9"/>
  <c r="J19" i="9" s="1"/>
  <c r="N19" i="9" s="1"/>
  <c r="I18" i="9"/>
  <c r="J18" i="9" s="1"/>
  <c r="N18" i="9" s="1"/>
  <c r="I17" i="9"/>
  <c r="J17" i="9" s="1"/>
  <c r="N17" i="9" s="1"/>
  <c r="I16" i="9"/>
  <c r="J16" i="9" s="1"/>
  <c r="N16" i="9" s="1"/>
  <c r="I15" i="9"/>
  <c r="J15" i="9" s="1"/>
  <c r="N15" i="9" s="1"/>
  <c r="I14" i="9"/>
  <c r="J14" i="9" s="1"/>
  <c r="N14" i="9" s="1"/>
  <c r="I13" i="9"/>
  <c r="J13" i="9" s="1"/>
  <c r="N13" i="9" s="1"/>
  <c r="I12" i="9"/>
  <c r="J12" i="9" s="1"/>
  <c r="N12" i="9" s="1"/>
  <c r="I11" i="9"/>
  <c r="J11" i="9" s="1"/>
  <c r="N11" i="9" s="1"/>
  <c r="I10" i="9"/>
  <c r="J10" i="9" s="1"/>
  <c r="N10" i="9" s="1"/>
  <c r="I58" i="23"/>
  <c r="J58" i="23" s="1"/>
  <c r="N58" i="23" s="1"/>
  <c r="I57" i="23"/>
  <c r="J57" i="23" s="1"/>
  <c r="N57" i="23" s="1"/>
  <c r="I56" i="23"/>
  <c r="J56" i="23" s="1"/>
  <c r="N56" i="23" s="1"/>
  <c r="I55" i="23"/>
  <c r="J55" i="23" s="1"/>
  <c r="N55" i="23" s="1"/>
  <c r="I54" i="23"/>
  <c r="J54" i="23" s="1"/>
  <c r="N54" i="23" s="1"/>
  <c r="I53" i="23"/>
  <c r="J53" i="23" s="1"/>
  <c r="N53" i="23" s="1"/>
  <c r="I52" i="23"/>
  <c r="J52" i="23" s="1"/>
  <c r="N52" i="23" s="1"/>
  <c r="I51" i="23"/>
  <c r="J51" i="23" s="1"/>
  <c r="N51" i="23" s="1"/>
  <c r="I50" i="23"/>
  <c r="J50" i="23" s="1"/>
  <c r="N50" i="23" s="1"/>
  <c r="I49" i="23"/>
  <c r="J49" i="23" s="1"/>
  <c r="N49" i="23" s="1"/>
  <c r="I18" i="23"/>
  <c r="J18" i="23" s="1"/>
  <c r="N18" i="23" s="1"/>
  <c r="I17" i="23"/>
  <c r="J17" i="23" s="1"/>
  <c r="N17" i="23" s="1"/>
  <c r="I16" i="23"/>
  <c r="J16" i="23" s="1"/>
  <c r="N16" i="23" s="1"/>
  <c r="I15" i="23"/>
  <c r="J15" i="23" s="1"/>
  <c r="N15" i="23" s="1"/>
  <c r="I14" i="23"/>
  <c r="J14" i="23" s="1"/>
  <c r="N14" i="23" s="1"/>
  <c r="I13" i="23"/>
  <c r="J13" i="23" s="1"/>
  <c r="N13" i="23" s="1"/>
  <c r="I12" i="23"/>
  <c r="J12" i="23" s="1"/>
  <c r="N12" i="23" s="1"/>
  <c r="I11" i="23"/>
  <c r="J11" i="23" s="1"/>
  <c r="N11" i="23" s="1"/>
  <c r="I10" i="23"/>
  <c r="J10" i="23" s="1"/>
  <c r="N10" i="23" s="1"/>
  <c r="I58" i="19"/>
  <c r="J58" i="19" s="1"/>
  <c r="N58" i="19" s="1"/>
  <c r="I57" i="19"/>
  <c r="J57" i="19" s="1"/>
  <c r="N57" i="19" s="1"/>
  <c r="I56" i="19"/>
  <c r="J56" i="19" s="1"/>
  <c r="N56" i="19" s="1"/>
  <c r="I55" i="19"/>
  <c r="J55" i="19" s="1"/>
  <c r="N55" i="19" s="1"/>
  <c r="I54" i="19"/>
  <c r="J54" i="19" s="1"/>
  <c r="N54" i="19" s="1"/>
  <c r="I53" i="19"/>
  <c r="J53" i="19" s="1"/>
  <c r="N53" i="19" s="1"/>
  <c r="I52" i="19"/>
  <c r="J52" i="19" s="1"/>
  <c r="N52" i="19" s="1"/>
  <c r="I51" i="19"/>
  <c r="J51" i="19" s="1"/>
  <c r="N51" i="19" s="1"/>
  <c r="I50" i="19"/>
  <c r="J50" i="19" s="1"/>
  <c r="N50" i="19" s="1"/>
  <c r="I49" i="19"/>
  <c r="J49" i="19" s="1"/>
  <c r="N49" i="19" s="1"/>
  <c r="I48" i="19"/>
  <c r="J48" i="19" s="1"/>
  <c r="N48" i="19" s="1"/>
  <c r="I47" i="19"/>
  <c r="J47" i="19" s="1"/>
  <c r="N47" i="19" s="1"/>
  <c r="I46" i="19"/>
  <c r="J46" i="19" s="1"/>
  <c r="N46" i="19" s="1"/>
  <c r="I15" i="19"/>
  <c r="J15" i="19" s="1"/>
  <c r="N15" i="19" s="1"/>
  <c r="I14" i="19"/>
  <c r="J14" i="19" s="1"/>
  <c r="N14" i="19" s="1"/>
  <c r="I13" i="19"/>
  <c r="J13" i="19" s="1"/>
  <c r="N13" i="19" s="1"/>
  <c r="I12" i="19"/>
  <c r="J12" i="19" s="1"/>
  <c r="N12" i="19" s="1"/>
  <c r="I11" i="19"/>
  <c r="J11" i="19" s="1"/>
  <c r="N11" i="19" s="1"/>
  <c r="I10" i="19"/>
  <c r="J10" i="19" s="1"/>
  <c r="N10" i="19" s="1"/>
  <c r="I58" i="17"/>
  <c r="J58" i="17" s="1"/>
  <c r="N58" i="17" s="1"/>
  <c r="I57" i="17"/>
  <c r="J57" i="17" s="1"/>
  <c r="N57" i="17" s="1"/>
  <c r="I56" i="17"/>
  <c r="J56" i="17" s="1"/>
  <c r="N56" i="17" s="1"/>
  <c r="I55" i="17"/>
  <c r="J55" i="17" s="1"/>
  <c r="N55" i="17" s="1"/>
  <c r="I54" i="17"/>
  <c r="J54" i="17" s="1"/>
  <c r="N54" i="17" s="1"/>
  <c r="I53" i="17"/>
  <c r="J53" i="17" s="1"/>
  <c r="N53" i="17" s="1"/>
  <c r="I52" i="17"/>
  <c r="J52" i="17" s="1"/>
  <c r="N52" i="17" s="1"/>
  <c r="I51" i="17"/>
  <c r="J51" i="17" s="1"/>
  <c r="N51" i="17" s="1"/>
  <c r="I50" i="17"/>
  <c r="J50" i="17" s="1"/>
  <c r="N50" i="17" s="1"/>
  <c r="I49" i="17"/>
  <c r="J49" i="17" s="1"/>
  <c r="N49" i="17" s="1"/>
  <c r="I48" i="17"/>
  <c r="J48" i="17" s="1"/>
  <c r="N48" i="17" s="1"/>
  <c r="I47" i="17"/>
  <c r="J47" i="17" s="1"/>
  <c r="N47" i="17" s="1"/>
  <c r="I46" i="17"/>
  <c r="J46" i="17" s="1"/>
  <c r="N46" i="17" s="1"/>
  <c r="I45" i="17"/>
  <c r="J45" i="17" s="1"/>
  <c r="N45" i="17" s="1"/>
  <c r="I44" i="17"/>
  <c r="J44" i="17" s="1"/>
  <c r="N44" i="17" s="1"/>
  <c r="I43" i="17"/>
  <c r="J43" i="17" s="1"/>
  <c r="N43" i="17" s="1"/>
  <c r="I42" i="17"/>
  <c r="J42" i="17" s="1"/>
  <c r="N42" i="17" s="1"/>
  <c r="I11" i="17"/>
  <c r="J11" i="17" s="1"/>
  <c r="N11" i="17" s="1"/>
  <c r="I10" i="17"/>
  <c r="J10" i="17" s="1"/>
  <c r="N10" i="17" s="1"/>
  <c r="I58" i="20"/>
  <c r="J58" i="20" s="1"/>
  <c r="N58" i="20" s="1"/>
  <c r="I57" i="20"/>
  <c r="J57" i="20" s="1"/>
  <c r="N57" i="20" s="1"/>
  <c r="I56" i="20"/>
  <c r="J56" i="20" s="1"/>
  <c r="N56" i="20" s="1"/>
  <c r="I55" i="20"/>
  <c r="J55" i="20" s="1"/>
  <c r="N55" i="20" s="1"/>
  <c r="I54" i="20"/>
  <c r="J54" i="20" s="1"/>
  <c r="N54" i="20" s="1"/>
  <c r="I53" i="20"/>
  <c r="J53" i="20" s="1"/>
  <c r="N53" i="20" s="1"/>
  <c r="I52" i="20"/>
  <c r="J52" i="20" s="1"/>
  <c r="N52" i="20" s="1"/>
  <c r="I51" i="20"/>
  <c r="J51" i="20" s="1"/>
  <c r="N51" i="20" s="1"/>
  <c r="I50" i="20"/>
  <c r="J50" i="20" s="1"/>
  <c r="N50" i="20" s="1"/>
  <c r="I49" i="20"/>
  <c r="J49" i="20" s="1"/>
  <c r="N49" i="20" s="1"/>
  <c r="I48" i="20"/>
  <c r="J48" i="20" s="1"/>
  <c r="N48" i="20" s="1"/>
  <c r="I47" i="20"/>
  <c r="J47" i="20" s="1"/>
  <c r="N47" i="20" s="1"/>
  <c r="I46" i="20"/>
  <c r="J46" i="20" s="1"/>
  <c r="N46" i="20" s="1"/>
  <c r="I15" i="20"/>
  <c r="J15" i="20" s="1"/>
  <c r="N15" i="20" s="1"/>
  <c r="I14" i="20"/>
  <c r="J14" i="20" s="1"/>
  <c r="N14" i="20" s="1"/>
  <c r="I13" i="20"/>
  <c r="J13" i="20" s="1"/>
  <c r="N13" i="20" s="1"/>
  <c r="I12" i="20"/>
  <c r="J12" i="20" s="1"/>
  <c r="N12" i="20" s="1"/>
  <c r="I11" i="20"/>
  <c r="J11" i="20" s="1"/>
  <c r="N11" i="20" s="1"/>
  <c r="I10" i="20"/>
  <c r="J10" i="20" s="1"/>
  <c r="N10" i="20" s="1"/>
  <c r="I58" i="21"/>
  <c r="J58" i="21" s="1"/>
  <c r="N58" i="21" s="1"/>
  <c r="I57" i="21"/>
  <c r="J57" i="21" s="1"/>
  <c r="N57" i="21" s="1"/>
  <c r="I56" i="21"/>
  <c r="J56" i="21" s="1"/>
  <c r="N56" i="21" s="1"/>
  <c r="I55" i="21"/>
  <c r="J55" i="21" s="1"/>
  <c r="N55" i="21" s="1"/>
  <c r="I54" i="21"/>
  <c r="J54" i="21" s="1"/>
  <c r="N54" i="21" s="1"/>
  <c r="I53" i="21"/>
  <c r="J53" i="21" s="1"/>
  <c r="N53" i="21" s="1"/>
  <c r="I52" i="21"/>
  <c r="J52" i="21" s="1"/>
  <c r="N52" i="21" s="1"/>
  <c r="I51" i="21"/>
  <c r="J51" i="21" s="1"/>
  <c r="N51" i="21" s="1"/>
  <c r="I50" i="21"/>
  <c r="J50" i="21" s="1"/>
  <c r="N50" i="21" s="1"/>
  <c r="I49" i="21"/>
  <c r="J49" i="21" s="1"/>
  <c r="N49" i="21" s="1"/>
  <c r="I48" i="21"/>
  <c r="J48" i="21" s="1"/>
  <c r="N48" i="21" s="1"/>
  <c r="I47" i="21"/>
  <c r="J47" i="21" s="1"/>
  <c r="N47" i="21" s="1"/>
  <c r="I16" i="21"/>
  <c r="J16" i="21" s="1"/>
  <c r="N16" i="21" s="1"/>
  <c r="I15" i="21"/>
  <c r="J15" i="21" s="1"/>
  <c r="N15" i="21" s="1"/>
  <c r="I14" i="21"/>
  <c r="J14" i="21" s="1"/>
  <c r="N14" i="21" s="1"/>
  <c r="I13" i="21"/>
  <c r="J13" i="21" s="1"/>
  <c r="N13" i="21" s="1"/>
  <c r="I12" i="21"/>
  <c r="J12" i="21" s="1"/>
  <c r="N12" i="21" s="1"/>
  <c r="I11" i="21"/>
  <c r="J11" i="21" s="1"/>
  <c r="N11" i="21" s="1"/>
  <c r="I10" i="21"/>
  <c r="J10" i="21" s="1"/>
  <c r="N10" i="21" s="1"/>
  <c r="I58" i="7"/>
  <c r="J58" i="7" s="1"/>
  <c r="N58" i="7" s="1"/>
  <c r="I57" i="7"/>
  <c r="J57" i="7" s="1"/>
  <c r="N57" i="7" s="1"/>
  <c r="I56" i="7"/>
  <c r="J56" i="7" s="1"/>
  <c r="N56" i="7" s="1"/>
  <c r="I55" i="7"/>
  <c r="J55" i="7" s="1"/>
  <c r="N55" i="7" s="1"/>
  <c r="I54" i="7"/>
  <c r="J54" i="7" s="1"/>
  <c r="N54" i="7" s="1"/>
  <c r="I53" i="7"/>
  <c r="J53" i="7" s="1"/>
  <c r="N53" i="7" s="1"/>
  <c r="I52" i="7"/>
  <c r="J52" i="7" s="1"/>
  <c r="N52" i="7" s="1"/>
  <c r="I51" i="7"/>
  <c r="J51" i="7" s="1"/>
  <c r="N51" i="7" s="1"/>
  <c r="I50" i="7"/>
  <c r="J50" i="7" s="1"/>
  <c r="N50" i="7" s="1"/>
  <c r="I49" i="7"/>
  <c r="J49" i="7" s="1"/>
  <c r="N49" i="7" s="1"/>
  <c r="I48" i="7"/>
  <c r="J48" i="7" s="1"/>
  <c r="N48" i="7" s="1"/>
  <c r="I47" i="7"/>
  <c r="J47" i="7" s="1"/>
  <c r="N47" i="7" s="1"/>
  <c r="I46" i="7"/>
  <c r="J46" i="7" s="1"/>
  <c r="N46" i="7" s="1"/>
  <c r="I45" i="7"/>
  <c r="J45" i="7" s="1"/>
  <c r="N45" i="7" s="1"/>
  <c r="I44" i="7"/>
  <c r="J44" i="7" s="1"/>
  <c r="N44" i="7" s="1"/>
  <c r="I29" i="7"/>
  <c r="J29" i="7" s="1"/>
  <c r="N29" i="7" s="1"/>
  <c r="I28" i="7"/>
  <c r="J28" i="7" s="1"/>
  <c r="N28" i="7" s="1"/>
  <c r="J11" i="7"/>
  <c r="N11" i="7" s="1"/>
  <c r="J10" i="7"/>
  <c r="N10" i="7" s="1"/>
  <c r="J9" i="8"/>
  <c r="N9" i="8" s="1"/>
  <c r="J39" i="24"/>
  <c r="N39" i="24" s="1"/>
  <c r="I9" i="18"/>
  <c r="J9" i="18" s="1"/>
  <c r="N9" i="18" s="1"/>
  <c r="I9" i="10"/>
  <c r="J9" i="10" s="1"/>
  <c r="N9" i="10" s="1"/>
  <c r="I9" i="25"/>
  <c r="J9" i="25" s="1"/>
  <c r="N9" i="25" s="1"/>
  <c r="I9" i="16"/>
  <c r="J9" i="16" s="1"/>
  <c r="N9" i="16" s="1"/>
  <c r="I9" i="9"/>
  <c r="J9" i="9" s="1"/>
  <c r="N9" i="9" s="1"/>
  <c r="I9" i="23"/>
  <c r="J9" i="23" s="1"/>
  <c r="N9" i="23" s="1"/>
  <c r="I9" i="19"/>
  <c r="J9" i="19" s="1"/>
  <c r="N9" i="19" s="1"/>
  <c r="I9" i="17"/>
  <c r="J9" i="17" s="1"/>
  <c r="N9" i="17" s="1"/>
  <c r="I9" i="20"/>
  <c r="J9" i="20" s="1"/>
  <c r="N9" i="20" s="1"/>
  <c r="I9" i="21"/>
  <c r="J9" i="21" s="1"/>
  <c r="N9" i="21" s="1"/>
  <c r="J9" i="7"/>
  <c r="N9" i="7" s="1"/>
  <c r="J22" i="2"/>
  <c r="J21" i="2"/>
  <c r="J20" i="2"/>
  <c r="J19" i="2"/>
  <c r="J18" i="2"/>
  <c r="J17" i="2"/>
  <c r="J16" i="2"/>
  <c r="J15" i="2"/>
  <c r="J14" i="2"/>
  <c r="J13" i="2"/>
  <c r="O10" i="17"/>
  <c r="P10" i="17"/>
  <c r="O11" i="17"/>
  <c r="P11" i="17"/>
  <c r="O42" i="17"/>
  <c r="P42" i="17"/>
  <c r="O43" i="17"/>
  <c r="P43" i="17"/>
  <c r="O44" i="17"/>
  <c r="P44" i="17"/>
  <c r="O45" i="17"/>
  <c r="P45" i="17"/>
  <c r="O46" i="17"/>
  <c r="P46" i="17"/>
  <c r="O47" i="17"/>
  <c r="P47" i="17"/>
  <c r="O48" i="17"/>
  <c r="P48" i="17"/>
  <c r="O49" i="17"/>
  <c r="P49" i="17"/>
  <c r="O50" i="17"/>
  <c r="P50" i="17"/>
  <c r="O51" i="17"/>
  <c r="P51" i="17"/>
  <c r="O52" i="17"/>
  <c r="P52" i="17"/>
  <c r="O53" i="17"/>
  <c r="P53" i="17"/>
  <c r="O54" i="17"/>
  <c r="P54" i="17"/>
  <c r="O55" i="17"/>
  <c r="P55" i="17"/>
  <c r="O56" i="17"/>
  <c r="P56" i="17"/>
  <c r="O57" i="17"/>
  <c r="P57" i="17"/>
  <c r="O58" i="17"/>
  <c r="P58" i="17"/>
  <c r="O10" i="19"/>
  <c r="P10" i="19"/>
  <c r="O11" i="19"/>
  <c r="P11" i="19"/>
  <c r="O12" i="19"/>
  <c r="P12" i="19"/>
  <c r="O13" i="19"/>
  <c r="P13" i="19"/>
  <c r="O14" i="19"/>
  <c r="P14" i="19"/>
  <c r="O15" i="19"/>
  <c r="P15" i="19"/>
  <c r="O46" i="19"/>
  <c r="P46" i="19"/>
  <c r="O47" i="19"/>
  <c r="P47" i="19"/>
  <c r="O48" i="19"/>
  <c r="P48" i="19"/>
  <c r="O49" i="19"/>
  <c r="P49" i="19"/>
  <c r="O50" i="19"/>
  <c r="P50" i="19"/>
  <c r="O51" i="19"/>
  <c r="P51" i="19"/>
  <c r="O52" i="19"/>
  <c r="P52" i="19"/>
  <c r="O53" i="19"/>
  <c r="P53" i="19"/>
  <c r="O54" i="19"/>
  <c r="P54" i="19"/>
  <c r="O55" i="19"/>
  <c r="P55" i="19"/>
  <c r="O56" i="19"/>
  <c r="P56" i="19"/>
  <c r="O57" i="19"/>
  <c r="P57" i="19"/>
  <c r="O58" i="19"/>
  <c r="P58" i="19"/>
  <c r="O10" i="23"/>
  <c r="P10" i="23"/>
  <c r="O11" i="23"/>
  <c r="P11" i="23"/>
  <c r="O12" i="23"/>
  <c r="P12" i="23"/>
  <c r="O13" i="23"/>
  <c r="P13" i="23"/>
  <c r="O14" i="23"/>
  <c r="P14" i="23"/>
  <c r="O15" i="23"/>
  <c r="P15" i="23"/>
  <c r="O16" i="23"/>
  <c r="P16" i="23"/>
  <c r="O17" i="23"/>
  <c r="P17" i="23"/>
  <c r="O18" i="23"/>
  <c r="P18" i="23"/>
  <c r="O49" i="23"/>
  <c r="P49" i="23"/>
  <c r="O50" i="23"/>
  <c r="P50" i="23"/>
  <c r="O51" i="23"/>
  <c r="P51" i="23"/>
  <c r="O52" i="23"/>
  <c r="P52" i="23"/>
  <c r="O53" i="23"/>
  <c r="P53" i="23"/>
  <c r="O54" i="23"/>
  <c r="P54" i="23"/>
  <c r="O55" i="23"/>
  <c r="P55" i="23"/>
  <c r="O56" i="23"/>
  <c r="P56" i="23"/>
  <c r="O57" i="23"/>
  <c r="P57" i="23"/>
  <c r="O58" i="23"/>
  <c r="P58" i="23"/>
  <c r="O10" i="9"/>
  <c r="P10" i="9"/>
  <c r="O11" i="9"/>
  <c r="P11" i="9"/>
  <c r="O12" i="9"/>
  <c r="P12" i="9"/>
  <c r="O13" i="9"/>
  <c r="P13" i="9"/>
  <c r="O14" i="9"/>
  <c r="P14" i="9"/>
  <c r="O15" i="9"/>
  <c r="P15" i="9"/>
  <c r="O16" i="9"/>
  <c r="P16" i="9"/>
  <c r="O17" i="9"/>
  <c r="P17" i="9"/>
  <c r="O18" i="9"/>
  <c r="P18" i="9"/>
  <c r="O19" i="9"/>
  <c r="P19" i="9"/>
  <c r="O20" i="9"/>
  <c r="P20" i="9"/>
  <c r="O21" i="9"/>
  <c r="P21" i="9"/>
  <c r="O22" i="9"/>
  <c r="P22" i="9"/>
  <c r="O23" i="9"/>
  <c r="P23" i="9"/>
  <c r="O24" i="9"/>
  <c r="P24" i="9"/>
  <c r="O25" i="9"/>
  <c r="P25" i="9"/>
  <c r="O56" i="9"/>
  <c r="P56" i="9"/>
  <c r="O57" i="9"/>
  <c r="P57" i="9"/>
  <c r="O58" i="9"/>
  <c r="P58" i="9"/>
  <c r="O10" i="16"/>
  <c r="P10" i="16"/>
  <c r="O11" i="16"/>
  <c r="P11" i="16"/>
  <c r="O12" i="16"/>
  <c r="P12" i="16"/>
  <c r="O13" i="16"/>
  <c r="P13" i="16"/>
  <c r="O14" i="16"/>
  <c r="P14" i="16"/>
  <c r="O15" i="16"/>
  <c r="P15" i="16"/>
  <c r="O16" i="16"/>
  <c r="P16" i="16"/>
  <c r="O17" i="16"/>
  <c r="P17" i="16"/>
  <c r="O18" i="16"/>
  <c r="P18" i="16"/>
  <c r="O19" i="16"/>
  <c r="P19" i="16"/>
  <c r="O20" i="16"/>
  <c r="P20" i="16"/>
  <c r="O21" i="16"/>
  <c r="P21" i="16"/>
  <c r="O22" i="16"/>
  <c r="P22" i="16"/>
  <c r="O23" i="16"/>
  <c r="P23" i="16"/>
  <c r="O24" i="16"/>
  <c r="P24" i="16"/>
  <c r="O25" i="16"/>
  <c r="P25" i="16"/>
  <c r="O56" i="16"/>
  <c r="P56" i="16"/>
  <c r="O57" i="16"/>
  <c r="P57" i="16"/>
  <c r="O58" i="16"/>
  <c r="P58" i="16"/>
  <c r="O10" i="25"/>
  <c r="P10" i="25"/>
  <c r="O11" i="25"/>
  <c r="P11" i="25"/>
  <c r="O12" i="25"/>
  <c r="P12" i="25"/>
  <c r="O13" i="25"/>
  <c r="P13" i="25"/>
  <c r="O14" i="25"/>
  <c r="P14" i="25"/>
  <c r="O15" i="25"/>
  <c r="P15" i="25"/>
  <c r="O16" i="25"/>
  <c r="P16" i="25"/>
  <c r="O17" i="25"/>
  <c r="P17" i="25"/>
  <c r="O18" i="25"/>
  <c r="P18" i="25"/>
  <c r="O19" i="25"/>
  <c r="P19" i="25"/>
  <c r="O20" i="25"/>
  <c r="P20" i="25"/>
  <c r="O21" i="25"/>
  <c r="P21" i="25"/>
  <c r="O22" i="25"/>
  <c r="P22" i="25"/>
  <c r="O23" i="25"/>
  <c r="P23" i="25"/>
  <c r="O54" i="25"/>
  <c r="P54" i="25"/>
  <c r="O55" i="25"/>
  <c r="P55" i="25"/>
  <c r="O56" i="25"/>
  <c r="P56" i="25"/>
  <c r="O57" i="25"/>
  <c r="P57" i="25"/>
  <c r="O58" i="25"/>
  <c r="P58" i="25"/>
  <c r="O10" i="10"/>
  <c r="P10" i="10"/>
  <c r="O11" i="10"/>
  <c r="P11" i="10"/>
  <c r="O12" i="10"/>
  <c r="P12" i="10"/>
  <c r="O13" i="10"/>
  <c r="P13" i="10"/>
  <c r="O14" i="10"/>
  <c r="P14" i="10"/>
  <c r="O15" i="10"/>
  <c r="P15" i="10"/>
  <c r="O16" i="10"/>
  <c r="P16" i="10"/>
  <c r="O17" i="10"/>
  <c r="P17" i="10"/>
  <c r="O18" i="10"/>
  <c r="P18" i="10"/>
  <c r="O19" i="10"/>
  <c r="P19" i="10"/>
  <c r="O20" i="10"/>
  <c r="P20" i="10"/>
  <c r="O21" i="10"/>
  <c r="P21" i="10"/>
  <c r="O22" i="10"/>
  <c r="P22" i="10"/>
  <c r="O23" i="10"/>
  <c r="P23" i="10"/>
  <c r="O24" i="10"/>
  <c r="P24" i="10"/>
  <c r="O25" i="10"/>
  <c r="P25" i="10"/>
  <c r="O56" i="10"/>
  <c r="P56" i="10"/>
  <c r="O57" i="10"/>
  <c r="P57" i="10"/>
  <c r="O58" i="10"/>
  <c r="P58" i="10"/>
  <c r="O10" i="18"/>
  <c r="P10" i="18"/>
  <c r="O11" i="18"/>
  <c r="P11" i="18"/>
  <c r="O12" i="18"/>
  <c r="P12" i="18"/>
  <c r="O13" i="18"/>
  <c r="P13" i="18"/>
  <c r="O14" i="18"/>
  <c r="P14" i="18"/>
  <c r="O15" i="18"/>
  <c r="P15" i="18"/>
  <c r="O16" i="18"/>
  <c r="P16" i="18"/>
  <c r="O17" i="18"/>
  <c r="P17" i="18"/>
  <c r="O18" i="18"/>
  <c r="P18" i="18"/>
  <c r="O19" i="18"/>
  <c r="P19" i="18"/>
  <c r="O20" i="18"/>
  <c r="P20" i="18"/>
  <c r="O21" i="18"/>
  <c r="P21" i="18"/>
  <c r="O22" i="18"/>
  <c r="P22" i="18"/>
  <c r="O23" i="18"/>
  <c r="P23" i="18"/>
  <c r="O24" i="18"/>
  <c r="P24" i="18"/>
  <c r="O25" i="18"/>
  <c r="P25" i="18"/>
  <c r="O56" i="18"/>
  <c r="P56" i="18"/>
  <c r="O57" i="18"/>
  <c r="P57" i="18"/>
  <c r="O58" i="18"/>
  <c r="P58" i="18"/>
  <c r="O40" i="24"/>
  <c r="P40" i="24"/>
  <c r="O41" i="24"/>
  <c r="P41" i="24"/>
  <c r="O42" i="24"/>
  <c r="P42" i="24"/>
  <c r="O43" i="24"/>
  <c r="P43" i="24"/>
  <c r="O44" i="24"/>
  <c r="P44" i="24"/>
  <c r="O45" i="24"/>
  <c r="P45" i="24"/>
  <c r="O46" i="24"/>
  <c r="P46" i="24"/>
  <c r="O47" i="24"/>
  <c r="P47" i="24"/>
  <c r="O48" i="24"/>
  <c r="P48" i="24"/>
  <c r="O49" i="24"/>
  <c r="P49" i="24"/>
  <c r="O50" i="24"/>
  <c r="P50" i="24"/>
  <c r="O51" i="24"/>
  <c r="P51" i="24"/>
  <c r="O52" i="24"/>
  <c r="P52" i="24"/>
  <c r="O53" i="24"/>
  <c r="P53" i="24"/>
  <c r="O54" i="24"/>
  <c r="P54" i="24"/>
  <c r="O55" i="24"/>
  <c r="P55" i="24"/>
  <c r="O56" i="24"/>
  <c r="P56" i="24"/>
  <c r="O57" i="24"/>
  <c r="P57" i="24"/>
  <c r="O58" i="24"/>
  <c r="P58" i="24"/>
  <c r="O41" i="8"/>
  <c r="P41" i="8"/>
  <c r="O42" i="8"/>
  <c r="P42" i="8"/>
  <c r="O43" i="8"/>
  <c r="P43" i="8"/>
  <c r="O44" i="8"/>
  <c r="P44" i="8"/>
  <c r="O45" i="8"/>
  <c r="P45" i="8"/>
  <c r="O46" i="8"/>
  <c r="P46" i="8"/>
  <c r="O47" i="8"/>
  <c r="P47" i="8"/>
  <c r="O48" i="8"/>
  <c r="P48" i="8"/>
  <c r="O49" i="8"/>
  <c r="P49" i="8"/>
  <c r="O50" i="8"/>
  <c r="P50" i="8"/>
  <c r="O51" i="8"/>
  <c r="P51" i="8"/>
  <c r="O52" i="8"/>
  <c r="P52" i="8"/>
  <c r="O53" i="8"/>
  <c r="P53" i="8"/>
  <c r="O54" i="8"/>
  <c r="P54" i="8"/>
  <c r="O55" i="8"/>
  <c r="P55" i="8"/>
  <c r="O56" i="8"/>
  <c r="P56" i="8"/>
  <c r="O57" i="8"/>
  <c r="P57" i="8"/>
  <c r="O58" i="8"/>
  <c r="P58" i="8"/>
  <c r="O10" i="7"/>
  <c r="P10" i="7"/>
  <c r="O11" i="7"/>
  <c r="P11" i="7"/>
  <c r="O28" i="7"/>
  <c r="P28" i="7"/>
  <c r="O29" i="7"/>
  <c r="P29" i="7"/>
  <c r="O44" i="7"/>
  <c r="P44" i="7"/>
  <c r="O45" i="7"/>
  <c r="P45" i="7"/>
  <c r="O46" i="7"/>
  <c r="P46" i="7"/>
  <c r="O47" i="7"/>
  <c r="P47" i="7"/>
  <c r="O48" i="7"/>
  <c r="P48" i="7"/>
  <c r="O49" i="7"/>
  <c r="P49" i="7"/>
  <c r="O50" i="7"/>
  <c r="P50" i="7"/>
  <c r="O51" i="7"/>
  <c r="P51" i="7"/>
  <c r="O52" i="7"/>
  <c r="P52" i="7"/>
  <c r="O53" i="7"/>
  <c r="P53" i="7"/>
  <c r="O54" i="7"/>
  <c r="P54" i="7"/>
  <c r="O55" i="7"/>
  <c r="P55" i="7"/>
  <c r="O56" i="7"/>
  <c r="P56" i="7"/>
  <c r="O57" i="7"/>
  <c r="P57" i="7"/>
  <c r="O58" i="7"/>
  <c r="P58" i="7"/>
  <c r="O9" i="7"/>
  <c r="P9" i="7"/>
  <c r="Q9" i="7"/>
  <c r="Q10" i="7"/>
  <c r="Q11" i="7"/>
  <c r="Q28" i="7"/>
  <c r="Q29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U60" i="7"/>
  <c r="R64" i="7"/>
  <c r="O9" i="19"/>
  <c r="O9" i="23"/>
  <c r="O9" i="25"/>
  <c r="O9" i="10"/>
  <c r="O39" i="24"/>
  <c r="O9" i="8"/>
  <c r="O9" i="17"/>
  <c r="R64" i="17"/>
  <c r="E105" i="17" s="1"/>
  <c r="Q58" i="17"/>
  <c r="Q57" i="17"/>
  <c r="Q56" i="17"/>
  <c r="Q55" i="17"/>
  <c r="Q54" i="17"/>
  <c r="Q53" i="17"/>
  <c r="Q52" i="17"/>
  <c r="Q51" i="17"/>
  <c r="Q50" i="17"/>
  <c r="Q49" i="17"/>
  <c r="Q48" i="17"/>
  <c r="Q47" i="17"/>
  <c r="Q46" i="17"/>
  <c r="Q45" i="17"/>
  <c r="Q44" i="17"/>
  <c r="Q43" i="17"/>
  <c r="Q42" i="17"/>
  <c r="Q11" i="17"/>
  <c r="Q10" i="17"/>
  <c r="Q9" i="17"/>
  <c r="P9" i="17"/>
  <c r="J21" i="18"/>
  <c r="N21" i="18" s="1"/>
  <c r="J22" i="18"/>
  <c r="N22" i="18" s="1"/>
  <c r="J56" i="18"/>
  <c r="N56" i="18" s="1"/>
  <c r="J58" i="18"/>
  <c r="N58" i="18" s="1"/>
  <c r="P39" i="24"/>
  <c r="Q40" i="24"/>
  <c r="Q41" i="24"/>
  <c r="Q42" i="24"/>
  <c r="Q43" i="24"/>
  <c r="Q44" i="24"/>
  <c r="Q45" i="24"/>
  <c r="Q46" i="24"/>
  <c r="Q47" i="24"/>
  <c r="Q48" i="24"/>
  <c r="Q49" i="24"/>
  <c r="Q50" i="24"/>
  <c r="Q51" i="24"/>
  <c r="Q52" i="24"/>
  <c r="Q53" i="24"/>
  <c r="Q54" i="24"/>
  <c r="Q55" i="24"/>
  <c r="Q56" i="24"/>
  <c r="Q57" i="24"/>
  <c r="Q58" i="24"/>
  <c r="Q39" i="24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9" i="8"/>
  <c r="R64" i="21"/>
  <c r="E105" i="21" s="1"/>
  <c r="R64" i="20"/>
  <c r="E105" i="20" s="1"/>
  <c r="R64" i="19"/>
  <c r="E105" i="19" s="1"/>
  <c r="R64" i="23"/>
  <c r="E105" i="23" s="1"/>
  <c r="R64" i="9"/>
  <c r="E105" i="9" s="1"/>
  <c r="R64" i="16"/>
  <c r="E105" i="16" s="1"/>
  <c r="R64" i="25"/>
  <c r="E105" i="25" s="1"/>
  <c r="R64" i="10"/>
  <c r="E105" i="10" s="1"/>
  <c r="R64" i="18"/>
  <c r="E105" i="18" s="1"/>
  <c r="R64" i="24"/>
  <c r="E105" i="24" s="1"/>
  <c r="R64" i="8"/>
  <c r="E105" i="8" s="1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56" i="10"/>
  <c r="Q57" i="10"/>
  <c r="Q58" i="10"/>
  <c r="U60" i="25"/>
  <c r="Q58" i="25"/>
  <c r="Q57" i="25"/>
  <c r="Q56" i="25"/>
  <c r="Q55" i="25"/>
  <c r="Q54" i="25"/>
  <c r="Q23" i="25"/>
  <c r="Q22" i="25"/>
  <c r="Q21" i="25"/>
  <c r="Q20" i="25"/>
  <c r="Q19" i="25"/>
  <c r="Q18" i="25"/>
  <c r="Q17" i="25"/>
  <c r="Q16" i="25"/>
  <c r="Q15" i="25"/>
  <c r="Q14" i="25"/>
  <c r="Q13" i="25"/>
  <c r="Q12" i="25"/>
  <c r="Q11" i="25"/>
  <c r="Q10" i="25"/>
  <c r="Q9" i="25"/>
  <c r="A4" i="25"/>
  <c r="A2" i="25"/>
  <c r="A1" i="25"/>
  <c r="U60" i="21"/>
  <c r="U60" i="20"/>
  <c r="U60" i="19"/>
  <c r="U60" i="18"/>
  <c r="U60" i="17"/>
  <c r="U60" i="16"/>
  <c r="U60" i="10"/>
  <c r="U60" i="23"/>
  <c r="U60" i="9"/>
  <c r="U60" i="24"/>
  <c r="U60" i="8"/>
  <c r="J45" i="24"/>
  <c r="N45" i="24" s="1"/>
  <c r="O9" i="20"/>
  <c r="P9" i="20"/>
  <c r="Q9" i="20"/>
  <c r="O10" i="20"/>
  <c r="P10" i="20"/>
  <c r="Q10" i="20"/>
  <c r="O11" i="20"/>
  <c r="P11" i="20"/>
  <c r="Q11" i="20"/>
  <c r="O12" i="20"/>
  <c r="P12" i="20"/>
  <c r="Q12" i="20"/>
  <c r="O13" i="20"/>
  <c r="P13" i="20"/>
  <c r="Q13" i="20"/>
  <c r="O14" i="20"/>
  <c r="P14" i="20"/>
  <c r="Q14" i="20"/>
  <c r="O15" i="20"/>
  <c r="P15" i="20"/>
  <c r="Q15" i="20"/>
  <c r="O46" i="20"/>
  <c r="P46" i="20"/>
  <c r="Q46" i="20"/>
  <c r="O47" i="20"/>
  <c r="P47" i="20"/>
  <c r="Q47" i="20"/>
  <c r="O48" i="20"/>
  <c r="P48" i="20"/>
  <c r="Q48" i="20"/>
  <c r="O49" i="20"/>
  <c r="P49" i="20"/>
  <c r="Q49" i="20"/>
  <c r="O50" i="20"/>
  <c r="P50" i="20"/>
  <c r="Q50" i="20"/>
  <c r="O51" i="20"/>
  <c r="P51" i="20"/>
  <c r="Q51" i="20"/>
  <c r="O52" i="20"/>
  <c r="P52" i="20"/>
  <c r="Q52" i="20"/>
  <c r="O53" i="20"/>
  <c r="P53" i="20"/>
  <c r="Q53" i="20"/>
  <c r="O54" i="20"/>
  <c r="P54" i="20"/>
  <c r="Q54" i="20"/>
  <c r="O55" i="20"/>
  <c r="P55" i="20"/>
  <c r="Q55" i="20"/>
  <c r="O56" i="20"/>
  <c r="P56" i="20"/>
  <c r="Q56" i="20"/>
  <c r="O57" i="20"/>
  <c r="P57" i="20"/>
  <c r="Q57" i="20"/>
  <c r="O58" i="20"/>
  <c r="P58" i="20"/>
  <c r="Q58" i="20"/>
  <c r="A1" i="19"/>
  <c r="A2" i="19"/>
  <c r="A4" i="19"/>
  <c r="P9" i="19"/>
  <c r="Q9" i="19"/>
  <c r="Q10" i="19"/>
  <c r="Q11" i="19"/>
  <c r="Q12" i="19"/>
  <c r="Q13" i="19"/>
  <c r="Q14" i="19"/>
  <c r="Q1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A4" i="24"/>
  <c r="A2" i="24"/>
  <c r="A1" i="24"/>
  <c r="Q58" i="23"/>
  <c r="Q57" i="23"/>
  <c r="Q56" i="23"/>
  <c r="Q55" i="23"/>
  <c r="Q54" i="23"/>
  <c r="Q53" i="23"/>
  <c r="Q52" i="23"/>
  <c r="Q51" i="23"/>
  <c r="Q50" i="23"/>
  <c r="Q49" i="23"/>
  <c r="Q18" i="23"/>
  <c r="Q17" i="23"/>
  <c r="Q16" i="23"/>
  <c r="Q15" i="23"/>
  <c r="Q14" i="23"/>
  <c r="Q13" i="23"/>
  <c r="Q12" i="23"/>
  <c r="Q11" i="23"/>
  <c r="Q10" i="23"/>
  <c r="Q9" i="23"/>
  <c r="P9" i="23"/>
  <c r="A4" i="23"/>
  <c r="A2" i="23"/>
  <c r="A1" i="23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A5" i="22"/>
  <c r="A1" i="21"/>
  <c r="Q58" i="21"/>
  <c r="P58" i="21"/>
  <c r="O58" i="21"/>
  <c r="Q57" i="21"/>
  <c r="P57" i="21"/>
  <c r="O57" i="21"/>
  <c r="Q56" i="21"/>
  <c r="P56" i="21"/>
  <c r="O56" i="21"/>
  <c r="Q55" i="21"/>
  <c r="P55" i="21"/>
  <c r="O55" i="21"/>
  <c r="Q54" i="21"/>
  <c r="P54" i="21"/>
  <c r="O54" i="21"/>
  <c r="Q53" i="21"/>
  <c r="P53" i="21"/>
  <c r="O53" i="21"/>
  <c r="Q52" i="21"/>
  <c r="P52" i="21"/>
  <c r="O52" i="21"/>
  <c r="Q51" i="21"/>
  <c r="P51" i="21"/>
  <c r="O51" i="21"/>
  <c r="Q50" i="21"/>
  <c r="P50" i="21"/>
  <c r="O50" i="21"/>
  <c r="Q49" i="21"/>
  <c r="P49" i="21"/>
  <c r="O49" i="21"/>
  <c r="Q48" i="21"/>
  <c r="P48" i="21"/>
  <c r="O48" i="21"/>
  <c r="Q47" i="21"/>
  <c r="P47" i="21"/>
  <c r="O47" i="21"/>
  <c r="Q16" i="21"/>
  <c r="P16" i="21"/>
  <c r="O16" i="21"/>
  <c r="Q15" i="21"/>
  <c r="P15" i="21"/>
  <c r="O15" i="21"/>
  <c r="Q14" i="21"/>
  <c r="P14" i="21"/>
  <c r="O14" i="21"/>
  <c r="Q13" i="21"/>
  <c r="P13" i="21"/>
  <c r="O13" i="21"/>
  <c r="Q12" i="21"/>
  <c r="P12" i="21"/>
  <c r="O12" i="21"/>
  <c r="Q11" i="21"/>
  <c r="P11" i="21"/>
  <c r="O11" i="21"/>
  <c r="Q10" i="21"/>
  <c r="P10" i="21"/>
  <c r="O10" i="21"/>
  <c r="Q9" i="21"/>
  <c r="P9" i="21"/>
  <c r="O9" i="21"/>
  <c r="A4" i="21"/>
  <c r="A2" i="21"/>
  <c r="A4" i="20"/>
  <c r="A2" i="20"/>
  <c r="A1" i="20"/>
  <c r="Q58" i="18"/>
  <c r="Q57" i="18"/>
  <c r="Q5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P9" i="18"/>
  <c r="O9" i="18"/>
  <c r="A4" i="18"/>
  <c r="A2" i="18"/>
  <c r="A1" i="18"/>
  <c r="A4" i="17"/>
  <c r="A2" i="17"/>
  <c r="A1" i="17"/>
  <c r="Q58" i="16"/>
  <c r="Q57" i="16"/>
  <c r="Q5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P9" i="16"/>
  <c r="O9" i="16"/>
  <c r="A4" i="16"/>
  <c r="A2" i="16"/>
  <c r="A1" i="16"/>
  <c r="A5" i="2"/>
  <c r="A5" i="19" s="1"/>
  <c r="Q58" i="9"/>
  <c r="Q57" i="9"/>
  <c r="Q5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9" i="10"/>
  <c r="P9" i="10"/>
  <c r="A4" i="10"/>
  <c r="A2" i="10"/>
  <c r="A1" i="10"/>
  <c r="Q10" i="9"/>
  <c r="Q9" i="9"/>
  <c r="P9" i="9"/>
  <c r="O9" i="9"/>
  <c r="A4" i="9"/>
  <c r="A2" i="9"/>
  <c r="A1" i="9"/>
  <c r="P9" i="8"/>
  <c r="A4" i="8"/>
  <c r="A2" i="8"/>
  <c r="A1" i="8"/>
  <c r="A4" i="7"/>
  <c r="A2" i="7"/>
  <c r="A1" i="7"/>
  <c r="B43" i="22"/>
  <c r="D43" i="22" s="1"/>
  <c r="B45" i="22"/>
  <c r="D45" i="22" s="1"/>
  <c r="B46" i="22"/>
  <c r="B47" i="22"/>
  <c r="D47" i="22" s="1"/>
  <c r="P9" i="25"/>
  <c r="P59" i="24" l="1"/>
  <c r="Q59" i="24"/>
  <c r="O59" i="8"/>
  <c r="O59" i="24"/>
  <c r="P59" i="20"/>
  <c r="O59" i="21"/>
  <c r="R71" i="21" s="1"/>
  <c r="O59" i="16"/>
  <c r="R71" i="16" s="1"/>
  <c r="O59" i="10"/>
  <c r="O59" i="9"/>
  <c r="N59" i="24"/>
  <c r="N59" i="25"/>
  <c r="Q59" i="17"/>
  <c r="N59" i="20"/>
  <c r="P59" i="25"/>
  <c r="P59" i="9"/>
  <c r="Q59" i="16"/>
  <c r="O59" i="25"/>
  <c r="R71" i="25" s="1"/>
  <c r="N59" i="17"/>
  <c r="E102" i="17" s="1"/>
  <c r="Q59" i="10"/>
  <c r="Q59" i="9"/>
  <c r="Q59" i="8"/>
  <c r="O59" i="23"/>
  <c r="Q66" i="23" s="1"/>
  <c r="N59" i="19"/>
  <c r="E102" i="19" s="1"/>
  <c r="N59" i="8"/>
  <c r="Q59" i="21"/>
  <c r="P59" i="19"/>
  <c r="N59" i="18"/>
  <c r="E102" i="18" s="1"/>
  <c r="O59" i="18"/>
  <c r="R71" i="18" s="1"/>
  <c r="O59" i="19"/>
  <c r="R60" i="19" s="1"/>
  <c r="N59" i="23"/>
  <c r="E102" i="23" s="1"/>
  <c r="N59" i="9"/>
  <c r="E102" i="9" s="1"/>
  <c r="P59" i="16"/>
  <c r="P59" i="8"/>
  <c r="P59" i="18"/>
  <c r="P59" i="23"/>
  <c r="Q59" i="18"/>
  <c r="Q59" i="23"/>
  <c r="Q59" i="20"/>
  <c r="O59" i="17"/>
  <c r="R71" i="17" s="1"/>
  <c r="N59" i="16"/>
  <c r="E102" i="16" s="1"/>
  <c r="P59" i="10"/>
  <c r="P59" i="21"/>
  <c r="Q59" i="19"/>
  <c r="O59" i="20"/>
  <c r="R71" i="20" s="1"/>
  <c r="Q59" i="25"/>
  <c r="P59" i="17"/>
  <c r="N59" i="21"/>
  <c r="E102" i="21" s="1"/>
  <c r="N59" i="10"/>
  <c r="E102" i="10" s="1"/>
  <c r="E105" i="7"/>
  <c r="B48" i="2" s="1"/>
  <c r="D30" i="22"/>
  <c r="R46" i="8"/>
  <c r="R47" i="21"/>
  <c r="R55" i="21"/>
  <c r="R12" i="21"/>
  <c r="R58" i="21"/>
  <c r="R11" i="19"/>
  <c r="R49" i="21"/>
  <c r="R55" i="20"/>
  <c r="R47" i="20"/>
  <c r="R14" i="20"/>
  <c r="R44" i="17"/>
  <c r="R52" i="17"/>
  <c r="R15" i="19"/>
  <c r="R57" i="19"/>
  <c r="R49" i="19"/>
  <c r="R53" i="19"/>
  <c r="R54" i="23"/>
  <c r="R16" i="23"/>
  <c r="R19" i="9"/>
  <c r="R14" i="16"/>
  <c r="R15" i="25"/>
  <c r="R23" i="25"/>
  <c r="R57" i="25"/>
  <c r="R58" i="25"/>
  <c r="R19" i="25"/>
  <c r="R14" i="25"/>
  <c r="R22" i="25"/>
  <c r="R58" i="10"/>
  <c r="R18" i="18"/>
  <c r="R49" i="24"/>
  <c r="B31" i="22"/>
  <c r="D31" i="22" s="1"/>
  <c r="R54" i="8"/>
  <c r="R42" i="8"/>
  <c r="R50" i="8"/>
  <c r="R58" i="8"/>
  <c r="B32" i="22"/>
  <c r="D32" i="22" s="1"/>
  <c r="Q59" i="7"/>
  <c r="P59" i="7"/>
  <c r="R53" i="7"/>
  <c r="R56" i="16"/>
  <c r="R45" i="17"/>
  <c r="R12" i="25"/>
  <c r="R11" i="16"/>
  <c r="R58" i="9"/>
  <c r="R9" i="20"/>
  <c r="R51" i="21"/>
  <c r="R11" i="25"/>
  <c r="R29" i="7"/>
  <c r="R48" i="21"/>
  <c r="R56" i="21"/>
  <c r="R53" i="20"/>
  <c r="R42" i="17"/>
  <c r="R50" i="17"/>
  <c r="R58" i="17"/>
  <c r="R47" i="19"/>
  <c r="R55" i="19"/>
  <c r="R14" i="23"/>
  <c r="R52" i="23"/>
  <c r="R11" i="9"/>
  <c r="R57" i="9"/>
  <c r="R18" i="10"/>
  <c r="R56" i="10"/>
  <c r="R15" i="18"/>
  <c r="R23" i="18"/>
  <c r="R48" i="17"/>
  <c r="R22" i="9"/>
  <c r="R41" i="24"/>
  <c r="R51" i="8"/>
  <c r="R18" i="25"/>
  <c r="R13" i="10"/>
  <c r="R20" i="18"/>
  <c r="R56" i="9"/>
  <c r="R58" i="23"/>
  <c r="R53" i="17"/>
  <c r="R56" i="20"/>
  <c r="R50" i="21"/>
  <c r="R57" i="7"/>
  <c r="R15" i="21"/>
  <c r="R13" i="23"/>
  <c r="R25" i="10"/>
  <c r="R52" i="7"/>
  <c r="R11" i="21"/>
  <c r="R57" i="21"/>
  <c r="R46" i="20"/>
  <c r="R54" i="20"/>
  <c r="R48" i="19"/>
  <c r="R56" i="19"/>
  <c r="R53" i="23"/>
  <c r="R12" i="9"/>
  <c r="R20" i="9"/>
  <c r="R11" i="10"/>
  <c r="R16" i="18"/>
  <c r="R24" i="18"/>
  <c r="R41" i="8"/>
  <c r="R49" i="8"/>
  <c r="R57" i="8"/>
  <c r="R47" i="8"/>
  <c r="R48" i="20"/>
  <c r="R52" i="20"/>
  <c r="R15" i="16"/>
  <c r="R52" i="8"/>
  <c r="R55" i="7"/>
  <c r="R14" i="21"/>
  <c r="R52" i="21"/>
  <c r="R11" i="20"/>
  <c r="R49" i="20"/>
  <c r="R57" i="20"/>
  <c r="R46" i="17"/>
  <c r="R54" i="17"/>
  <c r="R13" i="19"/>
  <c r="R51" i="19"/>
  <c r="R18" i="23"/>
  <c r="R56" i="23"/>
  <c r="R15" i="9"/>
  <c r="R23" i="9"/>
  <c r="R58" i="16"/>
  <c r="R14" i="10"/>
  <c r="R22" i="10"/>
  <c r="R19" i="18"/>
  <c r="R57" i="18"/>
  <c r="R44" i="8"/>
  <c r="R10" i="16"/>
  <c r="R54" i="25"/>
  <c r="R57" i="10"/>
  <c r="R15" i="20"/>
  <c r="R43" i="8"/>
  <c r="R9" i="10"/>
  <c r="R20" i="25"/>
  <c r="R57" i="16"/>
  <c r="R58" i="18"/>
  <c r="R18" i="9"/>
  <c r="R11" i="17"/>
  <c r="R10" i="20"/>
  <c r="R13" i="21"/>
  <c r="R45" i="7"/>
  <c r="R49" i="17"/>
  <c r="R22" i="16"/>
  <c r="R48" i="7"/>
  <c r="R56" i="7"/>
  <c r="R53" i="21"/>
  <c r="R12" i="20"/>
  <c r="R50" i="20"/>
  <c r="R58" i="20"/>
  <c r="R14" i="19"/>
  <c r="R52" i="19"/>
  <c r="R11" i="23"/>
  <c r="R49" i="23"/>
  <c r="R57" i="23"/>
  <c r="R16" i="9"/>
  <c r="R24" i="9"/>
  <c r="R56" i="25"/>
  <c r="R15" i="10"/>
  <c r="R23" i="10"/>
  <c r="R45" i="8"/>
  <c r="R53" i="8"/>
  <c r="R16" i="25"/>
  <c r="R21" i="10"/>
  <c r="R56" i="18"/>
  <c r="R15" i="23"/>
  <c r="R10" i="19"/>
  <c r="R10" i="17"/>
  <c r="R10" i="21"/>
  <c r="R9" i="23"/>
  <c r="R56" i="17"/>
  <c r="R23" i="16"/>
  <c r="R13" i="20"/>
  <c r="R51" i="20"/>
  <c r="R12" i="23"/>
  <c r="R50" i="23"/>
  <c r="R55" i="8"/>
  <c r="R19" i="16"/>
  <c r="R17" i="10"/>
  <c r="R22" i="18"/>
  <c r="R14" i="9"/>
  <c r="R9" i="17"/>
  <c r="R54" i="21"/>
  <c r="R9" i="9"/>
  <c r="R49" i="7"/>
  <c r="R57" i="17"/>
  <c r="R10" i="25"/>
  <c r="R24" i="16"/>
  <c r="R16" i="16"/>
  <c r="R18" i="16"/>
  <c r="R19" i="10"/>
  <c r="R16" i="21"/>
  <c r="R51" i="7"/>
  <c r="B35" i="22"/>
  <c r="D35" i="22" s="1"/>
  <c r="R51" i="17"/>
  <c r="R25" i="16"/>
  <c r="R21" i="16"/>
  <c r="R17" i="16"/>
  <c r="R13" i="16"/>
  <c r="R20" i="16"/>
  <c r="R9" i="25"/>
  <c r="R12" i="18"/>
  <c r="R21" i="18"/>
  <c r="R14" i="18"/>
  <c r="R9" i="8"/>
  <c r="R56" i="8"/>
  <c r="R48" i="8"/>
  <c r="R58" i="7"/>
  <c r="R54" i="7"/>
  <c r="R50" i="7"/>
  <c r="R47" i="7"/>
  <c r="R44" i="7"/>
  <c r="R28" i="7"/>
  <c r="R46" i="7"/>
  <c r="R9" i="7"/>
  <c r="R10" i="7"/>
  <c r="R11" i="7"/>
  <c r="O59" i="7"/>
  <c r="N59" i="7"/>
  <c r="R55" i="17"/>
  <c r="R43" i="17"/>
  <c r="R47" i="17"/>
  <c r="R46" i="19"/>
  <c r="R50" i="19"/>
  <c r="R54" i="19"/>
  <c r="R58" i="19"/>
  <c r="R12" i="19"/>
  <c r="R17" i="23"/>
  <c r="R51" i="23"/>
  <c r="R55" i="23"/>
  <c r="R25" i="9"/>
  <c r="R17" i="9"/>
  <c r="R21" i="9"/>
  <c r="R13" i="9"/>
  <c r="R13" i="25"/>
  <c r="R55" i="25"/>
  <c r="R21" i="25"/>
  <c r="R17" i="25"/>
  <c r="R16" i="10"/>
  <c r="R20" i="10"/>
  <c r="R12" i="10"/>
  <c r="R24" i="10"/>
  <c r="R13" i="18"/>
  <c r="R25" i="18"/>
  <c r="R17" i="18"/>
  <c r="R51" i="24"/>
  <c r="R47" i="24"/>
  <c r="R55" i="24"/>
  <c r="R43" i="24"/>
  <c r="R9" i="21"/>
  <c r="R9" i="19"/>
  <c r="R10" i="23"/>
  <c r="R10" i="9"/>
  <c r="B14" i="2"/>
  <c r="R12" i="16"/>
  <c r="B36" i="22"/>
  <c r="D36" i="22" s="1"/>
  <c r="R9" i="16"/>
  <c r="E102" i="25"/>
  <c r="R10" i="10"/>
  <c r="R11" i="18"/>
  <c r="R10" i="18"/>
  <c r="R9" i="18"/>
  <c r="B10" i="2"/>
  <c r="R52" i="24"/>
  <c r="R44" i="24"/>
  <c r="R54" i="24"/>
  <c r="R46" i="24"/>
  <c r="R53" i="24"/>
  <c r="R45" i="24"/>
  <c r="R56" i="24"/>
  <c r="R48" i="24"/>
  <c r="R50" i="24"/>
  <c r="R40" i="24"/>
  <c r="R71" i="24"/>
  <c r="R42" i="24"/>
  <c r="R57" i="24"/>
  <c r="R58" i="24"/>
  <c r="R39" i="24"/>
  <c r="A5" i="7"/>
  <c r="A5" i="20"/>
  <c r="A5" i="10"/>
  <c r="A5" i="21"/>
  <c r="A5" i="23"/>
  <c r="A5" i="18"/>
  <c r="A5" i="9"/>
  <c r="A5" i="17"/>
  <c r="A5" i="8"/>
  <c r="A5" i="16"/>
  <c r="A5" i="24"/>
  <c r="A5" i="25"/>
  <c r="R60" i="18" l="1"/>
  <c r="F104" i="18" s="1"/>
  <c r="F106" i="18" s="1"/>
  <c r="F107" i="18" s="1"/>
  <c r="F108" i="18" s="1"/>
  <c r="E109" i="18" s="1"/>
  <c r="Q66" i="10"/>
  <c r="R71" i="10"/>
  <c r="Q66" i="18"/>
  <c r="R60" i="23"/>
  <c r="R71" i="23"/>
  <c r="Q66" i="19"/>
  <c r="R71" i="19"/>
  <c r="F104" i="19" s="1"/>
  <c r="F106" i="19" s="1"/>
  <c r="F107" i="19" s="1"/>
  <c r="F108" i="19" s="1"/>
  <c r="E109" i="19" s="1"/>
  <c r="Q66" i="17"/>
  <c r="R60" i="17"/>
  <c r="F104" i="17" s="1"/>
  <c r="Q66" i="9"/>
  <c r="R71" i="9"/>
  <c r="Q66" i="8"/>
  <c r="R71" i="8"/>
  <c r="O66" i="8"/>
  <c r="E102" i="8"/>
  <c r="O66" i="20"/>
  <c r="E102" i="20"/>
  <c r="Q66" i="24"/>
  <c r="Q65" i="24"/>
  <c r="R65" i="24" s="1"/>
  <c r="E103" i="24" s="1"/>
  <c r="O69" i="24"/>
  <c r="R69" i="24" s="1"/>
  <c r="R67" i="24"/>
  <c r="B13" i="2" s="1"/>
  <c r="O66" i="24"/>
  <c r="Q65" i="7"/>
  <c r="R65" i="7" s="1"/>
  <c r="E103" i="7" s="1"/>
  <c r="O66" i="7"/>
  <c r="R69" i="7"/>
  <c r="R71" i="7"/>
  <c r="Q66" i="7"/>
  <c r="R60" i="7"/>
  <c r="R60" i="10"/>
  <c r="R60" i="9"/>
  <c r="O66" i="21"/>
  <c r="Q66" i="20"/>
  <c r="R60" i="20"/>
  <c r="F104" i="20" s="1"/>
  <c r="O66" i="17"/>
  <c r="O66" i="19"/>
  <c r="O66" i="23"/>
  <c r="R66" i="23" s="1"/>
  <c r="E104" i="23" s="1"/>
  <c r="O66" i="9"/>
  <c r="O66" i="16"/>
  <c r="Q66" i="16"/>
  <c r="O66" i="25"/>
  <c r="R60" i="25"/>
  <c r="F104" i="25" s="1"/>
  <c r="O66" i="10"/>
  <c r="O66" i="18"/>
  <c r="R60" i="8"/>
  <c r="E102" i="7"/>
  <c r="E106" i="7" s="1"/>
  <c r="O69" i="20"/>
  <c r="R69" i="20" s="1"/>
  <c r="R59" i="8"/>
  <c r="U59" i="8" s="1"/>
  <c r="Q66" i="21"/>
  <c r="R60" i="21"/>
  <c r="F104" i="21" s="1"/>
  <c r="R60" i="16"/>
  <c r="F104" i="16" s="1"/>
  <c r="Q66" i="25"/>
  <c r="Q65" i="20"/>
  <c r="R65" i="20" s="1"/>
  <c r="E103" i="20" s="1"/>
  <c r="R59" i="20"/>
  <c r="U59" i="20" s="1"/>
  <c r="Q65" i="8"/>
  <c r="R65" i="8" s="1"/>
  <c r="E103" i="8" s="1"/>
  <c r="O69" i="8"/>
  <c r="R69" i="8" s="1"/>
  <c r="R59" i="7"/>
  <c r="U59" i="7" s="1"/>
  <c r="R59" i="21"/>
  <c r="Q65" i="21"/>
  <c r="R65" i="21" s="1"/>
  <c r="E103" i="21" s="1"/>
  <c r="O69" i="21"/>
  <c r="R69" i="21" s="1"/>
  <c r="Q65" i="17"/>
  <c r="R65" i="17" s="1"/>
  <c r="E103" i="17" s="1"/>
  <c r="O69" i="17"/>
  <c r="R69" i="17" s="1"/>
  <c r="R59" i="17"/>
  <c r="Q65" i="19"/>
  <c r="R65" i="19" s="1"/>
  <c r="E103" i="19" s="1"/>
  <c r="O69" i="19"/>
  <c r="R69" i="19" s="1"/>
  <c r="R59" i="19"/>
  <c r="O69" i="23"/>
  <c r="R69" i="23" s="1"/>
  <c r="Q65" i="23"/>
  <c r="R65" i="23" s="1"/>
  <c r="E103" i="23" s="1"/>
  <c r="R59" i="23"/>
  <c r="R59" i="9"/>
  <c r="O69" i="9"/>
  <c r="R69" i="9" s="1"/>
  <c r="Q65" i="9"/>
  <c r="R65" i="9" s="1"/>
  <c r="E103" i="9" s="1"/>
  <c r="O69" i="16"/>
  <c r="R69" i="16" s="1"/>
  <c r="R59" i="16"/>
  <c r="Q65" i="16"/>
  <c r="R65" i="16" s="1"/>
  <c r="E103" i="16" s="1"/>
  <c r="Q65" i="25"/>
  <c r="R65" i="25" s="1"/>
  <c r="E103" i="25" s="1"/>
  <c r="O69" i="25"/>
  <c r="R69" i="25" s="1"/>
  <c r="R59" i="25"/>
  <c r="O69" i="10"/>
  <c r="R69" i="10" s="1"/>
  <c r="R59" i="10"/>
  <c r="Q65" i="10"/>
  <c r="R65" i="10" s="1"/>
  <c r="E103" i="10" s="1"/>
  <c r="O69" i="18"/>
  <c r="R69" i="18" s="1"/>
  <c r="Q65" i="18"/>
  <c r="R65" i="18" s="1"/>
  <c r="E103" i="18" s="1"/>
  <c r="R59" i="18"/>
  <c r="R60" i="24"/>
  <c r="F104" i="24" s="1"/>
  <c r="R59" i="24"/>
  <c r="R66" i="10" l="1"/>
  <c r="E104" i="10" s="1"/>
  <c r="F104" i="9"/>
  <c r="F106" i="9" s="1"/>
  <c r="F107" i="9" s="1"/>
  <c r="F108" i="9" s="1"/>
  <c r="E109" i="9" s="1"/>
  <c r="F104" i="23"/>
  <c r="F106" i="23" s="1"/>
  <c r="R66" i="9"/>
  <c r="E104" i="9" s="1"/>
  <c r="F104" i="10"/>
  <c r="F106" i="10" s="1"/>
  <c r="R66" i="17"/>
  <c r="E104" i="17" s="1"/>
  <c r="R66" i="24"/>
  <c r="E104" i="24" s="1"/>
  <c r="R66" i="8"/>
  <c r="E104" i="8" s="1"/>
  <c r="R66" i="18"/>
  <c r="E104" i="18" s="1"/>
  <c r="R66" i="19"/>
  <c r="E104" i="19" s="1"/>
  <c r="R66" i="20"/>
  <c r="E104" i="20" s="1"/>
  <c r="F106" i="24"/>
  <c r="F107" i="24" s="1"/>
  <c r="F108" i="24" s="1"/>
  <c r="E109" i="24" s="1"/>
  <c r="F106" i="17"/>
  <c r="F107" i="17" s="1"/>
  <c r="F108" i="17" s="1"/>
  <c r="E109" i="17" s="1"/>
  <c r="F106" i="16"/>
  <c r="F107" i="16" s="1"/>
  <c r="F108" i="16" s="1"/>
  <c r="E109" i="16" s="1"/>
  <c r="F106" i="21"/>
  <c r="F104" i="8"/>
  <c r="F106" i="25"/>
  <c r="F107" i="25" s="1"/>
  <c r="F108" i="25" s="1"/>
  <c r="E109" i="25" s="1"/>
  <c r="F106" i="20"/>
  <c r="F107" i="20" s="1"/>
  <c r="E102" i="24"/>
  <c r="E106" i="24" s="1"/>
  <c r="R66" i="7"/>
  <c r="B46" i="2"/>
  <c r="B17" i="2"/>
  <c r="R66" i="25"/>
  <c r="E104" i="25" s="1"/>
  <c r="R66" i="21"/>
  <c r="E104" i="21" s="1"/>
  <c r="R66" i="16"/>
  <c r="E104" i="16" s="1"/>
  <c r="R61" i="8"/>
  <c r="F104" i="7"/>
  <c r="R61" i="20"/>
  <c r="B39" i="22"/>
  <c r="D39" i="22" s="1"/>
  <c r="R61" i="7"/>
  <c r="U59" i="21"/>
  <c r="R61" i="21"/>
  <c r="U59" i="17"/>
  <c r="R61" i="17"/>
  <c r="U59" i="19"/>
  <c r="R61" i="19"/>
  <c r="U59" i="23"/>
  <c r="R61" i="23"/>
  <c r="B33" i="22"/>
  <c r="D33" i="22" s="1"/>
  <c r="R61" i="9"/>
  <c r="U59" i="9"/>
  <c r="U59" i="16"/>
  <c r="R61" i="16"/>
  <c r="U59" i="25"/>
  <c r="R61" i="25"/>
  <c r="B37" i="22"/>
  <c r="D37" i="22" s="1"/>
  <c r="B15" i="2"/>
  <c r="U59" i="10"/>
  <c r="R61" i="10"/>
  <c r="U59" i="18"/>
  <c r="R61" i="18"/>
  <c r="B11" i="2"/>
  <c r="U59" i="24"/>
  <c r="R61" i="24"/>
  <c r="F107" i="23" l="1"/>
  <c r="F108" i="23" s="1"/>
  <c r="E109" i="23" s="1"/>
  <c r="R70" i="24"/>
  <c r="R72" i="24" s="1"/>
  <c r="R73" i="24" s="1"/>
  <c r="F108" i="20"/>
  <c r="E109" i="20" s="1"/>
  <c r="F106" i="8"/>
  <c r="B45" i="2"/>
  <c r="F107" i="21"/>
  <c r="F108" i="21" s="1"/>
  <c r="E109" i="21" s="1"/>
  <c r="F107" i="10"/>
  <c r="F108" i="10" s="1"/>
  <c r="E109" i="10" s="1"/>
  <c r="R70" i="7"/>
  <c r="R72" i="7" s="1"/>
  <c r="R73" i="7" s="1"/>
  <c r="C47" i="2"/>
  <c r="B34" i="22"/>
  <c r="D34" i="22" s="1"/>
  <c r="D38" i="22" s="1"/>
  <c r="R70" i="20"/>
  <c r="R70" i="8"/>
  <c r="B12" i="2"/>
  <c r="E104" i="7"/>
  <c r="B47" i="2" s="1"/>
  <c r="F106" i="7"/>
  <c r="R70" i="21"/>
  <c r="R70" i="17"/>
  <c r="R70" i="19"/>
  <c r="R70" i="23"/>
  <c r="R70" i="9"/>
  <c r="R70" i="16"/>
  <c r="R70" i="25"/>
  <c r="R72" i="25" s="1"/>
  <c r="R70" i="10"/>
  <c r="B30" i="22"/>
  <c r="R70" i="18"/>
  <c r="B9" i="2"/>
  <c r="R72" i="16" l="1"/>
  <c r="E107" i="16" s="1"/>
  <c r="E108" i="16" s="1"/>
  <c r="E110" i="16" s="1"/>
  <c r="R74" i="24"/>
  <c r="R72" i="9"/>
  <c r="R73" i="9" s="1"/>
  <c r="R74" i="9" s="1"/>
  <c r="R75" i="9" s="1"/>
  <c r="R76" i="9" s="1"/>
  <c r="R77" i="9" s="1"/>
  <c r="R78" i="9" s="1"/>
  <c r="R79" i="9" s="1"/>
  <c r="I19" i="2" s="1"/>
  <c r="R72" i="19"/>
  <c r="R73" i="19" s="1"/>
  <c r="R74" i="19" s="1"/>
  <c r="R75" i="19" s="1"/>
  <c r="R72" i="18"/>
  <c r="E107" i="18" s="1"/>
  <c r="E108" i="18" s="1"/>
  <c r="E110" i="18" s="1"/>
  <c r="R72" i="17"/>
  <c r="R72" i="20"/>
  <c r="R72" i="10"/>
  <c r="C49" i="2"/>
  <c r="R72" i="23"/>
  <c r="E107" i="24"/>
  <c r="R72" i="21"/>
  <c r="R73" i="21" s="1"/>
  <c r="R74" i="21" s="1"/>
  <c r="R75" i="21" s="1"/>
  <c r="R76" i="21" s="1"/>
  <c r="R77" i="21" s="1"/>
  <c r="R78" i="21" s="1"/>
  <c r="R79" i="21" s="1"/>
  <c r="I24" i="2" s="1"/>
  <c r="R73" i="25"/>
  <c r="R74" i="25" s="1"/>
  <c r="R72" i="8"/>
  <c r="F107" i="8"/>
  <c r="F108" i="8" s="1"/>
  <c r="E109" i="8" s="1"/>
  <c r="R74" i="7"/>
  <c r="F107" i="7"/>
  <c r="E107" i="25"/>
  <c r="E108" i="25" s="1"/>
  <c r="E110" i="25" s="1"/>
  <c r="B38" i="22"/>
  <c r="B16" i="2"/>
  <c r="E107" i="9" l="1"/>
  <c r="E108" i="9" s="1"/>
  <c r="E110" i="9" s="1"/>
  <c r="F110" i="9" s="1"/>
  <c r="R73" i="23"/>
  <c r="R74" i="23" s="1"/>
  <c r="S30" i="9"/>
  <c r="S39" i="9"/>
  <c r="S24" i="9"/>
  <c r="S33" i="9"/>
  <c r="S36" i="9"/>
  <c r="S53" i="9"/>
  <c r="S40" i="9"/>
  <c r="S38" i="9"/>
  <c r="S47" i="9"/>
  <c r="S32" i="9"/>
  <c r="S41" i="9"/>
  <c r="S44" i="9"/>
  <c r="S27" i="9"/>
  <c r="S46" i="9"/>
  <c r="S49" i="9"/>
  <c r="S29" i="9"/>
  <c r="S55" i="9"/>
  <c r="S52" i="9"/>
  <c r="S54" i="9"/>
  <c r="S10" i="9"/>
  <c r="S48" i="9"/>
  <c r="S57" i="9"/>
  <c r="S13" i="9"/>
  <c r="S35" i="9"/>
  <c r="S18" i="9"/>
  <c r="S42" i="9"/>
  <c r="S56" i="9"/>
  <c r="S34" i="9"/>
  <c r="S45" i="9"/>
  <c r="S37" i="9"/>
  <c r="S50" i="9"/>
  <c r="S19" i="9"/>
  <c r="S15" i="9"/>
  <c r="S26" i="9"/>
  <c r="S12" i="9"/>
  <c r="S11" i="9"/>
  <c r="S17" i="9"/>
  <c r="S25" i="9"/>
  <c r="S14" i="9"/>
  <c r="S20" i="9"/>
  <c r="S22" i="9"/>
  <c r="S28" i="9"/>
  <c r="S23" i="9"/>
  <c r="S51" i="9"/>
  <c r="S31" i="9"/>
  <c r="S21" i="9"/>
  <c r="S16" i="9"/>
  <c r="S58" i="9"/>
  <c r="S43" i="9"/>
  <c r="R73" i="18"/>
  <c r="R74" i="18" s="1"/>
  <c r="E108" i="24"/>
  <c r="E110" i="24" s="1"/>
  <c r="R73" i="20"/>
  <c r="R74" i="20" s="1"/>
  <c r="E107" i="19"/>
  <c r="E108" i="19" s="1"/>
  <c r="E110" i="19" s="1"/>
  <c r="E107" i="21"/>
  <c r="E108" i="21" s="1"/>
  <c r="E110" i="21" s="1"/>
  <c r="F110" i="21" s="1"/>
  <c r="S18" i="21"/>
  <c r="S19" i="21"/>
  <c r="S28" i="21"/>
  <c r="S47" i="21"/>
  <c r="S54" i="21"/>
  <c r="S21" i="21"/>
  <c r="S13" i="21"/>
  <c r="S17" i="21"/>
  <c r="S26" i="21"/>
  <c r="S27" i="21"/>
  <c r="S36" i="21"/>
  <c r="S55" i="21"/>
  <c r="S37" i="21"/>
  <c r="S45" i="21"/>
  <c r="S12" i="21"/>
  <c r="S25" i="21"/>
  <c r="S34" i="21"/>
  <c r="S35" i="21"/>
  <c r="S44" i="21"/>
  <c r="S24" i="21"/>
  <c r="S56" i="21"/>
  <c r="S57" i="21"/>
  <c r="S33" i="21"/>
  <c r="S42" i="21"/>
  <c r="S43" i="21"/>
  <c r="S52" i="21"/>
  <c r="S48" i="21"/>
  <c r="S38" i="21"/>
  <c r="S53" i="21"/>
  <c r="S41" i="21"/>
  <c r="S50" i="21"/>
  <c r="S51" i="21"/>
  <c r="S15" i="21"/>
  <c r="S14" i="21"/>
  <c r="S16" i="21"/>
  <c r="S22" i="21"/>
  <c r="S49" i="21"/>
  <c r="S58" i="21"/>
  <c r="S29" i="21"/>
  <c r="S23" i="21"/>
  <c r="S30" i="21"/>
  <c r="S40" i="21"/>
  <c r="S31" i="21"/>
  <c r="S20" i="21"/>
  <c r="S39" i="21"/>
  <c r="S32" i="21"/>
  <c r="S46" i="21"/>
  <c r="S10" i="21"/>
  <c r="S11" i="21"/>
  <c r="E107" i="20"/>
  <c r="E108" i="20" s="1"/>
  <c r="E110" i="20" s="1"/>
  <c r="R73" i="16"/>
  <c r="R74" i="16" s="1"/>
  <c r="R75" i="16" s="1"/>
  <c r="R73" i="8"/>
  <c r="R74" i="8" s="1"/>
  <c r="R73" i="10"/>
  <c r="R74" i="10" s="1"/>
  <c r="R75" i="10" s="1"/>
  <c r="R73" i="17"/>
  <c r="S9" i="9"/>
  <c r="E107" i="17"/>
  <c r="E108" i="17" s="1"/>
  <c r="E110" i="17" s="1"/>
  <c r="R75" i="25"/>
  <c r="R75" i="24"/>
  <c r="R76" i="19"/>
  <c r="E107" i="23"/>
  <c r="E108" i="23" s="1"/>
  <c r="E110" i="23" s="1"/>
  <c r="S9" i="21"/>
  <c r="E107" i="8"/>
  <c r="E108" i="8" s="1"/>
  <c r="E110" i="8" s="1"/>
  <c r="C50" i="2"/>
  <c r="C51" i="2" s="1"/>
  <c r="B52" i="2" s="1"/>
  <c r="R75" i="7"/>
  <c r="E107" i="7"/>
  <c r="F108" i="7"/>
  <c r="E109" i="7" s="1"/>
  <c r="B40" i="22"/>
  <c r="D40" i="22" s="1"/>
  <c r="D41" i="22" s="1"/>
  <c r="B18" i="2"/>
  <c r="C18" i="2" s="1"/>
  <c r="C16" i="2"/>
  <c r="C17" i="2"/>
  <c r="R76" i="7" l="1"/>
  <c r="R77" i="7" s="1"/>
  <c r="R75" i="18"/>
  <c r="R76" i="18" s="1"/>
  <c r="R75" i="23"/>
  <c r="R76" i="23" s="1"/>
  <c r="S59" i="21"/>
  <c r="R77" i="19"/>
  <c r="E107" i="10"/>
  <c r="E108" i="10" s="1"/>
  <c r="E110" i="10" s="1"/>
  <c r="R76" i="10"/>
  <c r="R76" i="16"/>
  <c r="R76" i="24"/>
  <c r="R77" i="24" s="1"/>
  <c r="R78" i="24" s="1"/>
  <c r="R79" i="24" s="1"/>
  <c r="S59" i="9"/>
  <c r="R75" i="20"/>
  <c r="R76" i="25"/>
  <c r="R74" i="17"/>
  <c r="R75" i="8"/>
  <c r="E108" i="7"/>
  <c r="E110" i="7" s="1"/>
  <c r="B49" i="2"/>
  <c r="T38" i="9"/>
  <c r="T46" i="9"/>
  <c r="T31" i="9"/>
  <c r="T39" i="9"/>
  <c r="T43" i="9"/>
  <c r="T34" i="9"/>
  <c r="T45" i="9"/>
  <c r="T49" i="9"/>
  <c r="T33" i="9"/>
  <c r="T53" i="9"/>
  <c r="T42" i="9"/>
  <c r="T29" i="9"/>
  <c r="T48" i="9"/>
  <c r="T47" i="9"/>
  <c r="T52" i="9"/>
  <c r="T40" i="9"/>
  <c r="T30" i="9"/>
  <c r="T36" i="9"/>
  <c r="T55" i="9"/>
  <c r="T44" i="9"/>
  <c r="T32" i="9"/>
  <c r="T27" i="9"/>
  <c r="T35" i="9"/>
  <c r="T51" i="9"/>
  <c r="T54" i="9"/>
  <c r="T26" i="9"/>
  <c r="T28" i="9"/>
  <c r="T37" i="9"/>
  <c r="T41" i="9"/>
  <c r="T50" i="9"/>
  <c r="B41" i="22"/>
  <c r="B19" i="2"/>
  <c r="T12" i="9"/>
  <c r="T21" i="9"/>
  <c r="T58" i="9"/>
  <c r="T14" i="9"/>
  <c r="T22" i="9"/>
  <c r="T18" i="9"/>
  <c r="T10" i="9"/>
  <c r="T15" i="9"/>
  <c r="T24" i="9"/>
  <c r="T17" i="9"/>
  <c r="T19" i="9"/>
  <c r="T25" i="9"/>
  <c r="T20" i="9"/>
  <c r="T57" i="9"/>
  <c r="T23" i="9"/>
  <c r="T13" i="9"/>
  <c r="T56" i="9"/>
  <c r="T11" i="9"/>
  <c r="T16" i="9"/>
  <c r="C19" i="2" l="1"/>
  <c r="R78" i="7"/>
  <c r="S52" i="7" s="1"/>
  <c r="T52" i="7" s="1"/>
  <c r="F110" i="24"/>
  <c r="I14" i="2"/>
  <c r="R77" i="16"/>
  <c r="R78" i="16" s="1"/>
  <c r="S29" i="16" s="1"/>
  <c r="T29" i="16" s="1"/>
  <c r="S18" i="24"/>
  <c r="T18" i="24" s="1"/>
  <c r="S27" i="24"/>
  <c r="T27" i="24" s="1"/>
  <c r="S50" i="24"/>
  <c r="T50" i="24" s="1"/>
  <c r="S51" i="24"/>
  <c r="T51" i="24" s="1"/>
  <c r="S11" i="24"/>
  <c r="T11" i="24" s="1"/>
  <c r="S40" i="24"/>
  <c r="T40" i="24" s="1"/>
  <c r="S20" i="24"/>
  <c r="T20" i="24" s="1"/>
  <c r="S25" i="24"/>
  <c r="T25" i="24" s="1"/>
  <c r="S49" i="24"/>
  <c r="T49" i="24" s="1"/>
  <c r="S56" i="24"/>
  <c r="T56" i="24" s="1"/>
  <c r="S45" i="24"/>
  <c r="T45" i="24" s="1"/>
  <c r="S58" i="24"/>
  <c r="T58" i="24" s="1"/>
  <c r="S53" i="24"/>
  <c r="T53" i="24" s="1"/>
  <c r="S36" i="24"/>
  <c r="T36" i="24" s="1"/>
  <c r="S43" i="24"/>
  <c r="T43" i="24" s="1"/>
  <c r="S31" i="24"/>
  <c r="T31" i="24" s="1"/>
  <c r="S42" i="24"/>
  <c r="T42" i="24" s="1"/>
  <c r="S17" i="24"/>
  <c r="T17" i="24" s="1"/>
  <c r="S44" i="24"/>
  <c r="T44" i="24" s="1"/>
  <c r="S16" i="24"/>
  <c r="T16" i="24" s="1"/>
  <c r="S12" i="24"/>
  <c r="T12" i="24" s="1"/>
  <c r="S29" i="24"/>
  <c r="T29" i="24" s="1"/>
  <c r="S22" i="24"/>
  <c r="T22" i="24" s="1"/>
  <c r="S15" i="24"/>
  <c r="T15" i="24" s="1"/>
  <c r="S57" i="24"/>
  <c r="T57" i="24" s="1"/>
  <c r="S52" i="24"/>
  <c r="T52" i="24" s="1"/>
  <c r="S34" i="24"/>
  <c r="T34" i="24" s="1"/>
  <c r="S23" i="24"/>
  <c r="T23" i="24" s="1"/>
  <c r="S54" i="24"/>
  <c r="T54" i="24" s="1"/>
  <c r="S21" i="24"/>
  <c r="T21" i="24" s="1"/>
  <c r="S32" i="24"/>
  <c r="T32" i="24" s="1"/>
  <c r="S24" i="24"/>
  <c r="T24" i="24" s="1"/>
  <c r="S47" i="24"/>
  <c r="T47" i="24" s="1"/>
  <c r="S39" i="24"/>
  <c r="S37" i="24"/>
  <c r="T37" i="24" s="1"/>
  <c r="S33" i="24"/>
  <c r="T33" i="24" s="1"/>
  <c r="S19" i="24"/>
  <c r="T19" i="24" s="1"/>
  <c r="S13" i="24"/>
  <c r="T13" i="24" s="1"/>
  <c r="S28" i="24"/>
  <c r="T28" i="24" s="1"/>
  <c r="S26" i="24"/>
  <c r="T26" i="24" s="1"/>
  <c r="S35" i="24"/>
  <c r="T35" i="24" s="1"/>
  <c r="S38" i="24"/>
  <c r="T38" i="24" s="1"/>
  <c r="S30" i="24"/>
  <c r="T30" i="24" s="1"/>
  <c r="S46" i="24"/>
  <c r="T46" i="24" s="1"/>
  <c r="S41" i="24"/>
  <c r="T41" i="24" s="1"/>
  <c r="S14" i="24"/>
  <c r="T14" i="24" s="1"/>
  <c r="S55" i="24"/>
  <c r="T55" i="24" s="1"/>
  <c r="S10" i="24"/>
  <c r="T10" i="24" s="1"/>
  <c r="S48" i="24"/>
  <c r="T48" i="24" s="1"/>
  <c r="R77" i="25"/>
  <c r="R78" i="25" s="1"/>
  <c r="S9" i="25" s="1"/>
  <c r="R77" i="10"/>
  <c r="R78" i="19"/>
  <c r="R76" i="20"/>
  <c r="R77" i="18"/>
  <c r="R78" i="18" s="1"/>
  <c r="S38" i="18" s="1"/>
  <c r="R75" i="17"/>
  <c r="B21" i="2" s="1"/>
  <c r="R77" i="23"/>
  <c r="R78" i="23" s="1"/>
  <c r="S10" i="23" s="1"/>
  <c r="T10" i="23" s="1"/>
  <c r="S9" i="24"/>
  <c r="R76" i="8"/>
  <c r="T9" i="9"/>
  <c r="S75" i="9"/>
  <c r="S77" i="9" s="1"/>
  <c r="B50" i="2"/>
  <c r="B51" i="2" s="1"/>
  <c r="B53" i="2" s="1"/>
  <c r="T28" i="21"/>
  <c r="T19" i="21"/>
  <c r="T21" i="21"/>
  <c r="T22" i="21"/>
  <c r="T18" i="21"/>
  <c r="T23" i="21"/>
  <c r="T17" i="21"/>
  <c r="T20" i="21"/>
  <c r="B42" i="22"/>
  <c r="D42" i="22" s="1"/>
  <c r="D44" i="22" s="1"/>
  <c r="D46" i="22" s="1"/>
  <c r="D48" i="22" s="1"/>
  <c r="T58" i="21"/>
  <c r="T16" i="21"/>
  <c r="T56" i="21"/>
  <c r="T48" i="21"/>
  <c r="T55" i="21"/>
  <c r="T51" i="21"/>
  <c r="T15" i="21"/>
  <c r="T50" i="21"/>
  <c r="T10" i="21"/>
  <c r="T57" i="21"/>
  <c r="T47" i="21"/>
  <c r="T54" i="21"/>
  <c r="T13" i="21"/>
  <c r="T52" i="21"/>
  <c r="T11" i="21"/>
  <c r="T14" i="21"/>
  <c r="T12" i="21"/>
  <c r="T49" i="21"/>
  <c r="T53" i="21"/>
  <c r="B20" i="2"/>
  <c r="S33" i="7" l="1"/>
  <c r="T33" i="7" s="1"/>
  <c r="S46" i="7"/>
  <c r="T46" i="7" s="1"/>
  <c r="S42" i="7"/>
  <c r="T42" i="7" s="1"/>
  <c r="S19" i="7"/>
  <c r="T19" i="7" s="1"/>
  <c r="S27" i="7"/>
  <c r="T27" i="7" s="1"/>
  <c r="S26" i="7"/>
  <c r="T26" i="7" s="1"/>
  <c r="S44" i="7"/>
  <c r="T44" i="7" s="1"/>
  <c r="S11" i="7"/>
  <c r="T11" i="7" s="1"/>
  <c r="S38" i="7"/>
  <c r="T38" i="7" s="1"/>
  <c r="S29" i="7"/>
  <c r="T29" i="7" s="1"/>
  <c r="S47" i="7"/>
  <c r="T47" i="7" s="1"/>
  <c r="S36" i="7"/>
  <c r="T36" i="7" s="1"/>
  <c r="S56" i="7"/>
  <c r="T56" i="7" s="1"/>
  <c r="S23" i="7"/>
  <c r="T23" i="7" s="1"/>
  <c r="S30" i="7"/>
  <c r="T30" i="7" s="1"/>
  <c r="S54" i="7"/>
  <c r="T54" i="7" s="1"/>
  <c r="S51" i="7"/>
  <c r="T51" i="7" s="1"/>
  <c r="S20" i="7"/>
  <c r="T20" i="7" s="1"/>
  <c r="R79" i="7"/>
  <c r="B48" i="22" s="1"/>
  <c r="S15" i="7"/>
  <c r="T15" i="7" s="1"/>
  <c r="S49" i="7"/>
  <c r="T49" i="7" s="1"/>
  <c r="S34" i="7"/>
  <c r="T34" i="7" s="1"/>
  <c r="S45" i="7"/>
  <c r="T45" i="7" s="1"/>
  <c r="S55" i="7"/>
  <c r="T55" i="7" s="1"/>
  <c r="S32" i="7"/>
  <c r="T32" i="7" s="1"/>
  <c r="S48" i="7"/>
  <c r="T48" i="7" s="1"/>
  <c r="S22" i="7"/>
  <c r="T22" i="7" s="1"/>
  <c r="S53" i="7"/>
  <c r="T53" i="7" s="1"/>
  <c r="S50" i="7"/>
  <c r="T50" i="7" s="1"/>
  <c r="S12" i="7"/>
  <c r="T12" i="7" s="1"/>
  <c r="S37" i="7"/>
  <c r="T37" i="7" s="1"/>
  <c r="S13" i="7"/>
  <c r="T13" i="7" s="1"/>
  <c r="S17" i="7"/>
  <c r="T17" i="7" s="1"/>
  <c r="S31" i="7"/>
  <c r="T31" i="7" s="1"/>
  <c r="S41" i="7"/>
  <c r="T41" i="7" s="1"/>
  <c r="S16" i="7"/>
  <c r="T16" i="7" s="1"/>
  <c r="S43" i="7"/>
  <c r="T43" i="7" s="1"/>
  <c r="S28" i="7"/>
  <c r="T28" i="7" s="1"/>
  <c r="S24" i="7"/>
  <c r="T24" i="7" s="1"/>
  <c r="S58" i="7"/>
  <c r="T58" i="7" s="1"/>
  <c r="S40" i="7"/>
  <c r="T40" i="7" s="1"/>
  <c r="S25" i="7"/>
  <c r="T25" i="7" s="1"/>
  <c r="S39" i="7"/>
  <c r="T39" i="7" s="1"/>
  <c r="S35" i="7"/>
  <c r="T35" i="7" s="1"/>
  <c r="S9" i="7"/>
  <c r="T9" i="7" s="1"/>
  <c r="S10" i="7"/>
  <c r="T10" i="7" s="1"/>
  <c r="S21" i="7"/>
  <c r="T21" i="7" s="1"/>
  <c r="S18" i="7"/>
  <c r="T18" i="7" s="1"/>
  <c r="S57" i="7"/>
  <c r="T57" i="7" s="1"/>
  <c r="S14" i="7"/>
  <c r="T14" i="7" s="1"/>
  <c r="S9" i="16"/>
  <c r="T9" i="16" s="1"/>
  <c r="S27" i="16"/>
  <c r="T27" i="16" s="1"/>
  <c r="S47" i="16"/>
  <c r="T47" i="16" s="1"/>
  <c r="S33" i="16"/>
  <c r="T33" i="16" s="1"/>
  <c r="S14" i="16"/>
  <c r="T14" i="16" s="1"/>
  <c r="S53" i="16"/>
  <c r="T53" i="16" s="1"/>
  <c r="S58" i="16"/>
  <c r="T58" i="16" s="1"/>
  <c r="S18" i="16"/>
  <c r="T18" i="16" s="1"/>
  <c r="S54" i="16"/>
  <c r="T54" i="16" s="1"/>
  <c r="S30" i="16"/>
  <c r="T30" i="16" s="1"/>
  <c r="S17" i="16"/>
  <c r="T17" i="16" s="1"/>
  <c r="S44" i="16"/>
  <c r="T44" i="16" s="1"/>
  <c r="S51" i="16"/>
  <c r="T51" i="16" s="1"/>
  <c r="S43" i="16"/>
  <c r="S50" i="16"/>
  <c r="S48" i="16"/>
  <c r="T48" i="16" s="1"/>
  <c r="S11" i="16"/>
  <c r="T11" i="16" s="1"/>
  <c r="S19" i="16"/>
  <c r="T19" i="16" s="1"/>
  <c r="S38" i="16"/>
  <c r="T38" i="16" s="1"/>
  <c r="S21" i="16"/>
  <c r="T21" i="16" s="1"/>
  <c r="S52" i="16"/>
  <c r="T52" i="16" s="1"/>
  <c r="S55" i="16"/>
  <c r="T55" i="16" s="1"/>
  <c r="S22" i="16"/>
  <c r="T22" i="16" s="1"/>
  <c r="S28" i="16"/>
  <c r="T28" i="16" s="1"/>
  <c r="S13" i="16"/>
  <c r="T13" i="16" s="1"/>
  <c r="S37" i="16"/>
  <c r="S15" i="16"/>
  <c r="T15" i="16" s="1"/>
  <c r="S35" i="16"/>
  <c r="T35" i="16" s="1"/>
  <c r="S46" i="16"/>
  <c r="T46" i="16" s="1"/>
  <c r="S25" i="16"/>
  <c r="T25" i="16" s="1"/>
  <c r="S31" i="16"/>
  <c r="T31" i="16" s="1"/>
  <c r="S36" i="16"/>
  <c r="T36" i="16" s="1"/>
  <c r="S16" i="16"/>
  <c r="T16" i="16" s="1"/>
  <c r="S10" i="16"/>
  <c r="T10" i="16" s="1"/>
  <c r="S34" i="16"/>
  <c r="T34" i="16" s="1"/>
  <c r="S49" i="16"/>
  <c r="T49" i="16" s="1"/>
  <c r="S12" i="16"/>
  <c r="T12" i="16" s="1"/>
  <c r="S56" i="16"/>
  <c r="T56" i="16" s="1"/>
  <c r="S26" i="16"/>
  <c r="T26" i="16" s="1"/>
  <c r="S45" i="16"/>
  <c r="T45" i="16" s="1"/>
  <c r="S40" i="16"/>
  <c r="T40" i="16" s="1"/>
  <c r="S39" i="16"/>
  <c r="T39" i="16" s="1"/>
  <c r="S23" i="16"/>
  <c r="T23" i="16" s="1"/>
  <c r="S41" i="16"/>
  <c r="T41" i="16" s="1"/>
  <c r="S24" i="16"/>
  <c r="T24" i="16" s="1"/>
  <c r="S20" i="16"/>
  <c r="T20" i="16" s="1"/>
  <c r="S42" i="16"/>
  <c r="T42" i="16" s="1"/>
  <c r="S57" i="16"/>
  <c r="T57" i="16" s="1"/>
  <c r="S33" i="25"/>
  <c r="T33" i="25" s="1"/>
  <c r="S9" i="18"/>
  <c r="T9" i="18" s="1"/>
  <c r="S29" i="18"/>
  <c r="T29" i="18" s="1"/>
  <c r="S43" i="25"/>
  <c r="T43" i="25" s="1"/>
  <c r="S14" i="25"/>
  <c r="T14" i="25" s="1"/>
  <c r="S28" i="25"/>
  <c r="T28" i="25" s="1"/>
  <c r="S22" i="18"/>
  <c r="T22" i="18" s="1"/>
  <c r="S10" i="25"/>
  <c r="T10" i="25" s="1"/>
  <c r="S51" i="25"/>
  <c r="T51" i="25" s="1"/>
  <c r="S30" i="25"/>
  <c r="T30" i="25" s="1"/>
  <c r="S31" i="25"/>
  <c r="T31" i="25" s="1"/>
  <c r="S30" i="18"/>
  <c r="T30" i="18" s="1"/>
  <c r="S52" i="25"/>
  <c r="T52" i="25" s="1"/>
  <c r="S46" i="25"/>
  <c r="T46" i="25" s="1"/>
  <c r="S23" i="25"/>
  <c r="T23" i="25" s="1"/>
  <c r="S21" i="18"/>
  <c r="T21" i="18" s="1"/>
  <c r="S15" i="25"/>
  <c r="T15" i="25" s="1"/>
  <c r="S16" i="18"/>
  <c r="T16" i="18" s="1"/>
  <c r="S38" i="25"/>
  <c r="T38" i="25" s="1"/>
  <c r="S58" i="25"/>
  <c r="T58" i="25" s="1"/>
  <c r="S33" i="18"/>
  <c r="T33" i="18" s="1"/>
  <c r="S44" i="25"/>
  <c r="T44" i="25" s="1"/>
  <c r="S49" i="18"/>
  <c r="T49" i="18" s="1"/>
  <c r="S36" i="25"/>
  <c r="T36" i="25" s="1"/>
  <c r="S49" i="25"/>
  <c r="T49" i="25" s="1"/>
  <c r="S37" i="18"/>
  <c r="T37" i="18" s="1"/>
  <c r="R79" i="16"/>
  <c r="S32" i="16"/>
  <c r="T32" i="16" s="1"/>
  <c r="S19" i="25"/>
  <c r="T19" i="25" s="1"/>
  <c r="S25" i="25"/>
  <c r="T25" i="25" s="1"/>
  <c r="S58" i="23"/>
  <c r="T58" i="23" s="1"/>
  <c r="S12" i="18"/>
  <c r="T12" i="18" s="1"/>
  <c r="S53" i="25"/>
  <c r="T53" i="25" s="1"/>
  <c r="S56" i="25"/>
  <c r="T56" i="25" s="1"/>
  <c r="S45" i="25"/>
  <c r="T45" i="25" s="1"/>
  <c r="S27" i="25"/>
  <c r="T27" i="25" s="1"/>
  <c r="S40" i="25"/>
  <c r="T40" i="25" s="1"/>
  <c r="S13" i="25"/>
  <c r="T13" i="25" s="1"/>
  <c r="S28" i="18"/>
  <c r="T28" i="18" s="1"/>
  <c r="S19" i="18"/>
  <c r="T19" i="18" s="1"/>
  <c r="S13" i="23"/>
  <c r="T13" i="23" s="1"/>
  <c r="S31" i="23"/>
  <c r="T31" i="23" s="1"/>
  <c r="S23" i="23"/>
  <c r="T23" i="23" s="1"/>
  <c r="S46" i="18"/>
  <c r="T46" i="18" s="1"/>
  <c r="S48" i="23"/>
  <c r="T48" i="23" s="1"/>
  <c r="S46" i="23"/>
  <c r="T46" i="23" s="1"/>
  <c r="S56" i="23"/>
  <c r="T56" i="23" s="1"/>
  <c r="S32" i="18"/>
  <c r="T32" i="18" s="1"/>
  <c r="S54" i="18"/>
  <c r="T54" i="18" s="1"/>
  <c r="S52" i="18"/>
  <c r="T52" i="18" s="1"/>
  <c r="S36" i="18"/>
  <c r="T36" i="18" s="1"/>
  <c r="S13" i="18"/>
  <c r="T13" i="18" s="1"/>
  <c r="S41" i="18"/>
  <c r="T41" i="18" s="1"/>
  <c r="S36" i="23"/>
  <c r="T36" i="23" s="1"/>
  <c r="S32" i="25"/>
  <c r="T32" i="25" s="1"/>
  <c r="S37" i="25"/>
  <c r="T37" i="25" s="1"/>
  <c r="S12" i="25"/>
  <c r="T12" i="25" s="1"/>
  <c r="S34" i="25"/>
  <c r="T34" i="25" s="1"/>
  <c r="S18" i="25"/>
  <c r="T18" i="25" s="1"/>
  <c r="S20" i="25"/>
  <c r="T20" i="25" s="1"/>
  <c r="S47" i="18"/>
  <c r="T47" i="18" s="1"/>
  <c r="S27" i="23"/>
  <c r="T27" i="23" s="1"/>
  <c r="S55" i="18"/>
  <c r="T55" i="18" s="1"/>
  <c r="S15" i="18"/>
  <c r="T15" i="18" s="1"/>
  <c r="S52" i="23"/>
  <c r="T52" i="23" s="1"/>
  <c r="S34" i="23"/>
  <c r="T34" i="23" s="1"/>
  <c r="S50" i="23"/>
  <c r="T50" i="23" s="1"/>
  <c r="S27" i="18"/>
  <c r="T27" i="18" s="1"/>
  <c r="S28" i="23"/>
  <c r="T28" i="23" s="1"/>
  <c r="S24" i="23"/>
  <c r="T24" i="23" s="1"/>
  <c r="S19" i="23"/>
  <c r="T19" i="23" s="1"/>
  <c r="S59" i="24"/>
  <c r="S29" i="25"/>
  <c r="T29" i="25" s="1"/>
  <c r="S39" i="25"/>
  <c r="T39" i="25" s="1"/>
  <c r="S50" i="25"/>
  <c r="T50" i="25" s="1"/>
  <c r="S54" i="25"/>
  <c r="T54" i="25" s="1"/>
  <c r="S41" i="25"/>
  <c r="T41" i="25" s="1"/>
  <c r="S26" i="25"/>
  <c r="T26" i="25" s="1"/>
  <c r="S31" i="18"/>
  <c r="T31" i="18" s="1"/>
  <c r="S20" i="18"/>
  <c r="T20" i="18" s="1"/>
  <c r="S57" i="23"/>
  <c r="T57" i="23" s="1"/>
  <c r="S48" i="18"/>
  <c r="T48" i="18" s="1"/>
  <c r="S45" i="18"/>
  <c r="T45" i="18" s="1"/>
  <c r="S17" i="23"/>
  <c r="T17" i="23" s="1"/>
  <c r="S26" i="23"/>
  <c r="T26" i="23" s="1"/>
  <c r="S24" i="18"/>
  <c r="T24" i="18" s="1"/>
  <c r="S35" i="23"/>
  <c r="T35" i="23" s="1"/>
  <c r="S55" i="25"/>
  <c r="T55" i="25" s="1"/>
  <c r="S22" i="25"/>
  <c r="T22" i="25" s="1"/>
  <c r="S35" i="25"/>
  <c r="T35" i="25" s="1"/>
  <c r="S48" i="25"/>
  <c r="T48" i="25" s="1"/>
  <c r="S11" i="25"/>
  <c r="T11" i="25" s="1"/>
  <c r="S17" i="25"/>
  <c r="T17" i="25" s="1"/>
  <c r="S10" i="18"/>
  <c r="T10" i="18" s="1"/>
  <c r="S34" i="18"/>
  <c r="T34" i="18" s="1"/>
  <c r="S40" i="18"/>
  <c r="T40" i="18" s="1"/>
  <c r="S15" i="23"/>
  <c r="T15" i="23" s="1"/>
  <c r="S39" i="18"/>
  <c r="T39" i="18" s="1"/>
  <c r="S17" i="18"/>
  <c r="T17" i="18" s="1"/>
  <c r="S54" i="23"/>
  <c r="T54" i="23" s="1"/>
  <c r="S45" i="23"/>
  <c r="T45" i="23" s="1"/>
  <c r="S18" i="18"/>
  <c r="T18" i="18" s="1"/>
  <c r="S40" i="23"/>
  <c r="T40" i="23" s="1"/>
  <c r="S16" i="23"/>
  <c r="T16" i="23" s="1"/>
  <c r="S44" i="23"/>
  <c r="T44" i="23" s="1"/>
  <c r="S56" i="18"/>
  <c r="T56" i="18" s="1"/>
  <c r="S16" i="25"/>
  <c r="T16" i="25" s="1"/>
  <c r="S21" i="25"/>
  <c r="T21" i="25" s="1"/>
  <c r="S42" i="25"/>
  <c r="T42" i="25" s="1"/>
  <c r="S24" i="25"/>
  <c r="T24" i="25" s="1"/>
  <c r="S47" i="25"/>
  <c r="T47" i="25" s="1"/>
  <c r="S57" i="25"/>
  <c r="T57" i="25" s="1"/>
  <c r="S11" i="18"/>
  <c r="T11" i="18" s="1"/>
  <c r="S39" i="23"/>
  <c r="T39" i="23" s="1"/>
  <c r="S25" i="18"/>
  <c r="T25" i="18" s="1"/>
  <c r="S57" i="18"/>
  <c r="T57" i="18" s="1"/>
  <c r="S35" i="18"/>
  <c r="T35" i="18" s="1"/>
  <c r="S12" i="23"/>
  <c r="T12" i="23" s="1"/>
  <c r="S29" i="23"/>
  <c r="T29" i="23" s="1"/>
  <c r="S25" i="23"/>
  <c r="T25" i="23" s="1"/>
  <c r="S26" i="18"/>
  <c r="T26" i="18" s="1"/>
  <c r="S23" i="18"/>
  <c r="T23" i="18" s="1"/>
  <c r="S16" i="19"/>
  <c r="T16" i="19" s="1"/>
  <c r="S11" i="19"/>
  <c r="T11" i="19" s="1"/>
  <c r="S30" i="19"/>
  <c r="T30" i="19" s="1"/>
  <c r="S46" i="19"/>
  <c r="T46" i="19" s="1"/>
  <c r="S33" i="19"/>
  <c r="T33" i="19" s="1"/>
  <c r="S52" i="19"/>
  <c r="T52" i="19" s="1"/>
  <c r="S51" i="19"/>
  <c r="T51" i="19" s="1"/>
  <c r="S40" i="19"/>
  <c r="T40" i="19" s="1"/>
  <c r="S43" i="19"/>
  <c r="T43" i="19" s="1"/>
  <c r="S38" i="19"/>
  <c r="T38" i="19" s="1"/>
  <c r="S54" i="19"/>
  <c r="T54" i="19" s="1"/>
  <c r="S35" i="19"/>
  <c r="T35" i="19" s="1"/>
  <c r="S36" i="19"/>
  <c r="T36" i="19" s="1"/>
  <c r="S18" i="19"/>
  <c r="T18" i="19" s="1"/>
  <c r="S42" i="19"/>
  <c r="T42" i="19" s="1"/>
  <c r="S58" i="19"/>
  <c r="T58" i="19" s="1"/>
  <c r="S56" i="19"/>
  <c r="T56" i="19" s="1"/>
  <c r="S19" i="19"/>
  <c r="T19" i="19" s="1"/>
  <c r="S27" i="19"/>
  <c r="T27" i="19" s="1"/>
  <c r="S28" i="19"/>
  <c r="T28" i="19" s="1"/>
  <c r="S39" i="19"/>
  <c r="T39" i="19" s="1"/>
  <c r="S49" i="19"/>
  <c r="T49" i="19" s="1"/>
  <c r="S34" i="19"/>
  <c r="T34" i="19" s="1"/>
  <c r="S53" i="19"/>
  <c r="T53" i="19" s="1"/>
  <c r="S32" i="19"/>
  <c r="T32" i="19" s="1"/>
  <c r="S20" i="19"/>
  <c r="T20" i="19" s="1"/>
  <c r="S23" i="19"/>
  <c r="T23" i="19" s="1"/>
  <c r="S55" i="19"/>
  <c r="T55" i="19" s="1"/>
  <c r="S45" i="19"/>
  <c r="T45" i="19" s="1"/>
  <c r="S12" i="19"/>
  <c r="T12" i="19" s="1"/>
  <c r="S50" i="19"/>
  <c r="T50" i="19" s="1"/>
  <c r="S31" i="19"/>
  <c r="T31" i="19" s="1"/>
  <c r="S57" i="19"/>
  <c r="T57" i="19" s="1"/>
  <c r="S21" i="19"/>
  <c r="T21" i="19" s="1"/>
  <c r="S10" i="19"/>
  <c r="T10" i="19" s="1"/>
  <c r="S47" i="19"/>
  <c r="T47" i="19" s="1"/>
  <c r="S14" i="19"/>
  <c r="T14" i="19" s="1"/>
  <c r="S37" i="19"/>
  <c r="T37" i="19" s="1"/>
  <c r="S24" i="19"/>
  <c r="T24" i="19" s="1"/>
  <c r="S26" i="19"/>
  <c r="T26" i="19" s="1"/>
  <c r="S17" i="19"/>
  <c r="T17" i="19" s="1"/>
  <c r="S25" i="19"/>
  <c r="T25" i="19" s="1"/>
  <c r="S41" i="19"/>
  <c r="T41" i="19" s="1"/>
  <c r="S48" i="19"/>
  <c r="T48" i="19" s="1"/>
  <c r="S15" i="19"/>
  <c r="T15" i="19" s="1"/>
  <c r="S29" i="19"/>
  <c r="T29" i="19" s="1"/>
  <c r="S22" i="19"/>
  <c r="T22" i="19" s="1"/>
  <c r="S13" i="19"/>
  <c r="T13" i="19" s="1"/>
  <c r="S44" i="19"/>
  <c r="T44" i="19" s="1"/>
  <c r="S44" i="18"/>
  <c r="T44" i="18" s="1"/>
  <c r="S43" i="18"/>
  <c r="T43" i="18" s="1"/>
  <c r="S42" i="23"/>
  <c r="T42" i="23" s="1"/>
  <c r="S14" i="18"/>
  <c r="T14" i="18" s="1"/>
  <c r="S11" i="23"/>
  <c r="T11" i="23" s="1"/>
  <c r="S41" i="23"/>
  <c r="T41" i="23" s="1"/>
  <c r="S53" i="18"/>
  <c r="T53" i="18" s="1"/>
  <c r="R79" i="23"/>
  <c r="S14" i="23"/>
  <c r="T14" i="23" s="1"/>
  <c r="S33" i="23"/>
  <c r="T33" i="23" s="1"/>
  <c r="S30" i="23"/>
  <c r="T30" i="23" s="1"/>
  <c r="S47" i="23"/>
  <c r="T47" i="23" s="1"/>
  <c r="S43" i="23"/>
  <c r="T43" i="23" s="1"/>
  <c r="S22" i="23"/>
  <c r="T22" i="23" s="1"/>
  <c r="S21" i="23"/>
  <c r="T21" i="23" s="1"/>
  <c r="S18" i="23"/>
  <c r="T18" i="23" s="1"/>
  <c r="S20" i="23"/>
  <c r="T20" i="23" s="1"/>
  <c r="S51" i="23"/>
  <c r="T51" i="23" s="1"/>
  <c r="S37" i="23"/>
  <c r="T37" i="23" s="1"/>
  <c r="S32" i="23"/>
  <c r="T32" i="23" s="1"/>
  <c r="S38" i="23"/>
  <c r="T38" i="23" s="1"/>
  <c r="S50" i="18"/>
  <c r="T50" i="18" s="1"/>
  <c r="S49" i="23"/>
  <c r="T49" i="23" s="1"/>
  <c r="S42" i="18"/>
  <c r="T42" i="18" s="1"/>
  <c r="S51" i="18"/>
  <c r="T51" i="18" s="1"/>
  <c r="S53" i="23"/>
  <c r="T53" i="23" s="1"/>
  <c r="S55" i="23"/>
  <c r="T55" i="23" s="1"/>
  <c r="S58" i="18"/>
  <c r="T58" i="18" s="1"/>
  <c r="R79" i="18"/>
  <c r="T38" i="18"/>
  <c r="R77" i="8"/>
  <c r="R76" i="17"/>
  <c r="B55" i="2" s="1"/>
  <c r="R79" i="19"/>
  <c r="S9" i="19"/>
  <c r="S9" i="23"/>
  <c r="T9" i="23" s="1"/>
  <c r="R78" i="10"/>
  <c r="R79" i="25"/>
  <c r="R77" i="20"/>
  <c r="R78" i="20" s="1"/>
  <c r="S29" i="20" s="1"/>
  <c r="I12" i="2"/>
  <c r="T9" i="24"/>
  <c r="S75" i="24"/>
  <c r="T42" i="21"/>
  <c r="T33" i="21"/>
  <c r="T34" i="21"/>
  <c r="T26" i="21"/>
  <c r="B44" i="22"/>
  <c r="T37" i="21"/>
  <c r="T32" i="21"/>
  <c r="T30" i="21"/>
  <c r="T43" i="21"/>
  <c r="T31" i="21"/>
  <c r="T29" i="21"/>
  <c r="T38" i="21"/>
  <c r="T39" i="21"/>
  <c r="T24" i="21"/>
  <c r="T45" i="21"/>
  <c r="T46" i="21"/>
  <c r="T41" i="21"/>
  <c r="T44" i="21"/>
  <c r="T35" i="21"/>
  <c r="T27" i="21"/>
  <c r="T25" i="21"/>
  <c r="T40" i="21"/>
  <c r="T36" i="21"/>
  <c r="T43" i="16"/>
  <c r="T37" i="16"/>
  <c r="T50" i="16"/>
  <c r="T39" i="24"/>
  <c r="T9" i="21"/>
  <c r="C22" i="2"/>
  <c r="C20" i="2"/>
  <c r="C24" i="2"/>
  <c r="T9" i="25"/>
  <c r="F110" i="7" l="1"/>
  <c r="S59" i="7"/>
  <c r="S75" i="7"/>
  <c r="R78" i="8"/>
  <c r="S25" i="8" s="1"/>
  <c r="T25" i="8" s="1"/>
  <c r="S59" i="16"/>
  <c r="B22" i="2"/>
  <c r="F110" i="23"/>
  <c r="I20" i="2"/>
  <c r="F110" i="18"/>
  <c r="I15" i="2"/>
  <c r="F110" i="16"/>
  <c r="I18" i="2"/>
  <c r="F110" i="25"/>
  <c r="I17" i="2"/>
  <c r="F110" i="19"/>
  <c r="I21" i="2"/>
  <c r="S59" i="18"/>
  <c r="S58" i="20"/>
  <c r="T58" i="20" s="1"/>
  <c r="S53" i="20"/>
  <c r="T53" i="20" s="1"/>
  <c r="S45" i="20"/>
  <c r="T45" i="20" s="1"/>
  <c r="S54" i="20"/>
  <c r="T54" i="20" s="1"/>
  <c r="S43" i="20"/>
  <c r="T43" i="20" s="1"/>
  <c r="S35" i="20"/>
  <c r="T35" i="20" s="1"/>
  <c r="S59" i="25"/>
  <c r="S57" i="20"/>
  <c r="T57" i="20" s="1"/>
  <c r="S46" i="20"/>
  <c r="T46" i="20" s="1"/>
  <c r="S27" i="20"/>
  <c r="T27" i="20" s="1"/>
  <c r="S23" i="20"/>
  <c r="T23" i="20" s="1"/>
  <c r="S19" i="20"/>
  <c r="T19" i="20" s="1"/>
  <c r="S11" i="20"/>
  <c r="T11" i="20" s="1"/>
  <c r="S16" i="20"/>
  <c r="T16" i="20" s="1"/>
  <c r="S52" i="20"/>
  <c r="T52" i="20" s="1"/>
  <c r="S18" i="20"/>
  <c r="T18" i="20" s="1"/>
  <c r="S40" i="20"/>
  <c r="T40" i="20" s="1"/>
  <c r="S10" i="20"/>
  <c r="T10" i="20" s="1"/>
  <c r="S47" i="20"/>
  <c r="T47" i="20" s="1"/>
  <c r="S45" i="10"/>
  <c r="T45" i="10" s="1"/>
  <c r="S47" i="10"/>
  <c r="T47" i="10" s="1"/>
  <c r="S18" i="10"/>
  <c r="T18" i="10" s="1"/>
  <c r="S49" i="10"/>
  <c r="T49" i="10" s="1"/>
  <c r="S33" i="10"/>
  <c r="T33" i="10" s="1"/>
  <c r="S57" i="10"/>
  <c r="T57" i="10" s="1"/>
  <c r="S24" i="10"/>
  <c r="T24" i="10" s="1"/>
  <c r="S25" i="10"/>
  <c r="T25" i="10" s="1"/>
  <c r="S19" i="10"/>
  <c r="T19" i="10" s="1"/>
  <c r="S37" i="10"/>
  <c r="T37" i="10" s="1"/>
  <c r="S58" i="10"/>
  <c r="T58" i="10" s="1"/>
  <c r="S36" i="10"/>
  <c r="T36" i="10" s="1"/>
  <c r="S51" i="10"/>
  <c r="T51" i="10" s="1"/>
  <c r="S13" i="10"/>
  <c r="T13" i="10" s="1"/>
  <c r="S43" i="10"/>
  <c r="T43" i="10" s="1"/>
  <c r="S48" i="10"/>
  <c r="T48" i="10" s="1"/>
  <c r="S32" i="10"/>
  <c r="T32" i="10" s="1"/>
  <c r="S34" i="10"/>
  <c r="T34" i="10" s="1"/>
  <c r="S14" i="10"/>
  <c r="T14" i="10" s="1"/>
  <c r="S23" i="10"/>
  <c r="T23" i="10" s="1"/>
  <c r="S56" i="10"/>
  <c r="T56" i="10" s="1"/>
  <c r="S41" i="10"/>
  <c r="T41" i="10" s="1"/>
  <c r="S31" i="10"/>
  <c r="T31" i="10" s="1"/>
  <c r="S38" i="10"/>
  <c r="T38" i="10" s="1"/>
  <c r="S30" i="10"/>
  <c r="T30" i="10" s="1"/>
  <c r="S10" i="10"/>
  <c r="T10" i="10" s="1"/>
  <c r="S50" i="10"/>
  <c r="T50" i="10" s="1"/>
  <c r="S12" i="10"/>
  <c r="T12" i="10" s="1"/>
  <c r="S42" i="10"/>
  <c r="T42" i="10" s="1"/>
  <c r="S15" i="10"/>
  <c r="T15" i="10" s="1"/>
  <c r="S11" i="10"/>
  <c r="T11" i="10" s="1"/>
  <c r="S46" i="10"/>
  <c r="T46" i="10" s="1"/>
  <c r="S27" i="10"/>
  <c r="T27" i="10" s="1"/>
  <c r="S21" i="10"/>
  <c r="T21" i="10" s="1"/>
  <c r="S40" i="10"/>
  <c r="T40" i="10" s="1"/>
  <c r="S35" i="10"/>
  <c r="T35" i="10" s="1"/>
  <c r="S16" i="10"/>
  <c r="T16" i="10" s="1"/>
  <c r="S17" i="10"/>
  <c r="T17" i="10" s="1"/>
  <c r="S44" i="10"/>
  <c r="T44" i="10" s="1"/>
  <c r="S29" i="10"/>
  <c r="T29" i="10" s="1"/>
  <c r="S20" i="10"/>
  <c r="T20" i="10" s="1"/>
  <c r="S26" i="10"/>
  <c r="T26" i="10" s="1"/>
  <c r="S39" i="10"/>
  <c r="T39" i="10" s="1"/>
  <c r="S22" i="10"/>
  <c r="T22" i="10" s="1"/>
  <c r="S55" i="10"/>
  <c r="T55" i="10" s="1"/>
  <c r="S52" i="10"/>
  <c r="T52" i="10" s="1"/>
  <c r="S28" i="10"/>
  <c r="T28" i="10" s="1"/>
  <c r="S54" i="10"/>
  <c r="T54" i="10" s="1"/>
  <c r="S53" i="10"/>
  <c r="T53" i="10" s="1"/>
  <c r="S56" i="20"/>
  <c r="T56" i="20" s="1"/>
  <c r="S34" i="20"/>
  <c r="T34" i="20" s="1"/>
  <c r="S44" i="20"/>
  <c r="T44" i="20" s="1"/>
  <c r="S32" i="20"/>
  <c r="T32" i="20" s="1"/>
  <c r="S25" i="20"/>
  <c r="T25" i="20" s="1"/>
  <c r="S41" i="20"/>
  <c r="T41" i="20" s="1"/>
  <c r="S38" i="20"/>
  <c r="T38" i="20" s="1"/>
  <c r="S51" i="20"/>
  <c r="T51" i="20" s="1"/>
  <c r="S49" i="20"/>
  <c r="T49" i="20" s="1"/>
  <c r="S12" i="20"/>
  <c r="T12" i="20" s="1"/>
  <c r="S20" i="20"/>
  <c r="T20" i="20" s="1"/>
  <c r="S14" i="20"/>
  <c r="T14" i="20" s="1"/>
  <c r="S21" i="20"/>
  <c r="T21" i="20" s="1"/>
  <c r="S30" i="20"/>
  <c r="T30" i="20" s="1"/>
  <c r="S42" i="20"/>
  <c r="T42" i="20" s="1"/>
  <c r="S17" i="20"/>
  <c r="T17" i="20" s="1"/>
  <c r="S26" i="20"/>
  <c r="T26" i="20" s="1"/>
  <c r="S39" i="20"/>
  <c r="T39" i="20" s="1"/>
  <c r="S33" i="20"/>
  <c r="T33" i="20" s="1"/>
  <c r="S9" i="20"/>
  <c r="T9" i="20" s="1"/>
  <c r="S15" i="20"/>
  <c r="T15" i="20" s="1"/>
  <c r="S50" i="20"/>
  <c r="T50" i="20" s="1"/>
  <c r="S55" i="20"/>
  <c r="T55" i="20" s="1"/>
  <c r="S24" i="20"/>
  <c r="T24" i="20" s="1"/>
  <c r="S22" i="20"/>
  <c r="T22" i="20" s="1"/>
  <c r="S48" i="20"/>
  <c r="T48" i="20" s="1"/>
  <c r="S75" i="18"/>
  <c r="S77" i="18" s="1"/>
  <c r="S13" i="20"/>
  <c r="T13" i="20" s="1"/>
  <c r="S31" i="20"/>
  <c r="T31" i="20" s="1"/>
  <c r="S36" i="20"/>
  <c r="T36" i="20" s="1"/>
  <c r="S37" i="20"/>
  <c r="T37" i="20" s="1"/>
  <c r="S28" i="20"/>
  <c r="T28" i="20" s="1"/>
  <c r="R79" i="20"/>
  <c r="T29" i="20"/>
  <c r="S9" i="10"/>
  <c r="R79" i="10"/>
  <c r="S59" i="23"/>
  <c r="S59" i="19"/>
  <c r="S75" i="19"/>
  <c r="S77" i="19" s="1"/>
  <c r="T9" i="19"/>
  <c r="R77" i="17"/>
  <c r="R78" i="17" s="1"/>
  <c r="S40" i="17" s="1"/>
  <c r="S75" i="21"/>
  <c r="S77" i="21" s="1"/>
  <c r="S75" i="16"/>
  <c r="S77" i="16" s="1"/>
  <c r="S75" i="23"/>
  <c r="S77" i="23" s="1"/>
  <c r="S75" i="25"/>
  <c r="S77" i="25" s="1"/>
  <c r="S77" i="24"/>
  <c r="S77" i="7"/>
  <c r="F110" i="20" l="1"/>
  <c r="I23" i="2"/>
  <c r="S56" i="8"/>
  <c r="T56" i="8" s="1"/>
  <c r="S26" i="8"/>
  <c r="T26" i="8" s="1"/>
  <c r="S32" i="8"/>
  <c r="T32" i="8" s="1"/>
  <c r="S14" i="8"/>
  <c r="T14" i="8" s="1"/>
  <c r="S27" i="8"/>
  <c r="T27" i="8" s="1"/>
  <c r="S44" i="8"/>
  <c r="T44" i="8" s="1"/>
  <c r="S29" i="8"/>
  <c r="T29" i="8" s="1"/>
  <c r="S36" i="8"/>
  <c r="T36" i="8" s="1"/>
  <c r="S54" i="8"/>
  <c r="T54" i="8" s="1"/>
  <c r="S33" i="8"/>
  <c r="T33" i="8" s="1"/>
  <c r="S47" i="8"/>
  <c r="T47" i="8" s="1"/>
  <c r="S43" i="8"/>
  <c r="T43" i="8" s="1"/>
  <c r="S23" i="8"/>
  <c r="T23" i="8" s="1"/>
  <c r="S10" i="8"/>
  <c r="T10" i="8" s="1"/>
  <c r="S20" i="8"/>
  <c r="T20" i="8" s="1"/>
  <c r="S51" i="8"/>
  <c r="T51" i="8" s="1"/>
  <c r="S11" i="8"/>
  <c r="T11" i="8" s="1"/>
  <c r="S42" i="8"/>
  <c r="T42" i="8" s="1"/>
  <c r="R79" i="8"/>
  <c r="I13" i="2" s="1"/>
  <c r="S15" i="8"/>
  <c r="T15" i="8" s="1"/>
  <c r="S38" i="8"/>
  <c r="T38" i="8" s="1"/>
  <c r="S28" i="8"/>
  <c r="T28" i="8" s="1"/>
  <c r="S24" i="8"/>
  <c r="T24" i="8" s="1"/>
  <c r="S49" i="8"/>
  <c r="T49" i="8" s="1"/>
  <c r="S31" i="8"/>
  <c r="T31" i="8" s="1"/>
  <c r="S37" i="8"/>
  <c r="T37" i="8" s="1"/>
  <c r="S12" i="8"/>
  <c r="T12" i="8" s="1"/>
  <c r="S53" i="8"/>
  <c r="T53" i="8" s="1"/>
  <c r="S40" i="8"/>
  <c r="T40" i="8" s="1"/>
  <c r="S50" i="8"/>
  <c r="T50" i="8" s="1"/>
  <c r="S9" i="8"/>
  <c r="T9" i="8" s="1"/>
  <c r="S30" i="8"/>
  <c r="T30" i="8" s="1"/>
  <c r="S34" i="8"/>
  <c r="T34" i="8" s="1"/>
  <c r="S35" i="8"/>
  <c r="T35" i="8" s="1"/>
  <c r="S52" i="8"/>
  <c r="T52" i="8" s="1"/>
  <c r="S18" i="8"/>
  <c r="T18" i="8" s="1"/>
  <c r="S58" i="8"/>
  <c r="T58" i="8" s="1"/>
  <c r="S39" i="8"/>
  <c r="T39" i="8" s="1"/>
  <c r="S17" i="8"/>
  <c r="T17" i="8" s="1"/>
  <c r="S21" i="8"/>
  <c r="T21" i="8" s="1"/>
  <c r="S16" i="8"/>
  <c r="T16" i="8" s="1"/>
  <c r="S55" i="8"/>
  <c r="T55" i="8" s="1"/>
  <c r="S46" i="8"/>
  <c r="T46" i="8" s="1"/>
  <c r="S48" i="8"/>
  <c r="T48" i="8" s="1"/>
  <c r="S41" i="8"/>
  <c r="T41" i="8" s="1"/>
  <c r="S57" i="8"/>
  <c r="T57" i="8" s="1"/>
  <c r="S45" i="8"/>
  <c r="T45" i="8" s="1"/>
  <c r="S22" i="8"/>
  <c r="T22" i="8" s="1"/>
  <c r="S13" i="8"/>
  <c r="T13" i="8" s="1"/>
  <c r="S19" i="8"/>
  <c r="T19" i="8" s="1"/>
  <c r="B23" i="2"/>
  <c r="B24" i="2"/>
  <c r="B56" i="2"/>
  <c r="F110" i="10"/>
  <c r="I16" i="2"/>
  <c r="S23" i="17"/>
  <c r="T23" i="17" s="1"/>
  <c r="S13" i="17"/>
  <c r="T13" i="17" s="1"/>
  <c r="S53" i="17"/>
  <c r="T53" i="17" s="1"/>
  <c r="S31" i="17"/>
  <c r="T31" i="17" s="1"/>
  <c r="S39" i="17"/>
  <c r="T39" i="17" s="1"/>
  <c r="S22" i="17"/>
  <c r="T22" i="17" s="1"/>
  <c r="S47" i="17"/>
  <c r="T47" i="17" s="1"/>
  <c r="S25" i="17"/>
  <c r="T25" i="17" s="1"/>
  <c r="S21" i="17"/>
  <c r="T21" i="17" s="1"/>
  <c r="S14" i="17"/>
  <c r="T14" i="17" s="1"/>
  <c r="S10" i="17"/>
  <c r="T10" i="17" s="1"/>
  <c r="S50" i="17"/>
  <c r="T50" i="17" s="1"/>
  <c r="S52" i="17"/>
  <c r="T52" i="17" s="1"/>
  <c r="S43" i="17"/>
  <c r="T43" i="17" s="1"/>
  <c r="S26" i="17"/>
  <c r="T26" i="17" s="1"/>
  <c r="S24" i="17"/>
  <c r="T24" i="17" s="1"/>
  <c r="S57" i="17"/>
  <c r="T57" i="17" s="1"/>
  <c r="S33" i="17"/>
  <c r="T33" i="17" s="1"/>
  <c r="S32" i="17"/>
  <c r="T32" i="17" s="1"/>
  <c r="S55" i="17"/>
  <c r="T55" i="17" s="1"/>
  <c r="S41" i="17"/>
  <c r="T41" i="17" s="1"/>
  <c r="S46" i="17"/>
  <c r="T46" i="17" s="1"/>
  <c r="S48" i="17"/>
  <c r="T48" i="17" s="1"/>
  <c r="S38" i="17"/>
  <c r="T38" i="17" s="1"/>
  <c r="S29" i="17"/>
  <c r="T29" i="17" s="1"/>
  <c r="S42" i="17"/>
  <c r="T42" i="17" s="1"/>
  <c r="S58" i="17"/>
  <c r="T58" i="17" s="1"/>
  <c r="S54" i="17"/>
  <c r="T54" i="17" s="1"/>
  <c r="S37" i="17"/>
  <c r="T37" i="17" s="1"/>
  <c r="S34" i="17"/>
  <c r="T34" i="17" s="1"/>
  <c r="S35" i="17"/>
  <c r="T35" i="17" s="1"/>
  <c r="S20" i="17"/>
  <c r="T20" i="17" s="1"/>
  <c r="S17" i="17"/>
  <c r="T17" i="17" s="1"/>
  <c r="S16" i="17"/>
  <c r="T16" i="17" s="1"/>
  <c r="S45" i="17"/>
  <c r="T45" i="17" s="1"/>
  <c r="S28" i="17"/>
  <c r="T28" i="17" s="1"/>
  <c r="S11" i="17"/>
  <c r="T11" i="17" s="1"/>
  <c r="S56" i="17"/>
  <c r="T56" i="17" s="1"/>
  <c r="S30" i="17"/>
  <c r="T30" i="17" s="1"/>
  <c r="S49" i="17"/>
  <c r="T49" i="17" s="1"/>
  <c r="S36" i="17"/>
  <c r="T36" i="17" s="1"/>
  <c r="S19" i="17"/>
  <c r="T19" i="17" s="1"/>
  <c r="S12" i="17"/>
  <c r="T12" i="17" s="1"/>
  <c r="S51" i="17"/>
  <c r="T51" i="17" s="1"/>
  <c r="S18" i="17"/>
  <c r="T18" i="17" s="1"/>
  <c r="S15" i="17"/>
  <c r="T15" i="17" s="1"/>
  <c r="S44" i="17"/>
  <c r="T44" i="17" s="1"/>
  <c r="S27" i="17"/>
  <c r="T27" i="17" s="1"/>
  <c r="T9" i="10"/>
  <c r="S75" i="10"/>
  <c r="S77" i="10" s="1"/>
  <c r="S59" i="10"/>
  <c r="R79" i="17"/>
  <c r="B25" i="2" s="1"/>
  <c r="T40" i="17"/>
  <c r="S75" i="20"/>
  <c r="S77" i="20" s="1"/>
  <c r="S9" i="17"/>
  <c r="S59" i="20"/>
  <c r="F110" i="8" l="1"/>
  <c r="S59" i="8"/>
  <c r="C21" i="2"/>
  <c r="S75" i="8"/>
  <c r="S77" i="8" s="1"/>
  <c r="C53" i="2"/>
  <c r="F110" i="17"/>
  <c r="I22" i="2"/>
  <c r="I25" i="2" s="1"/>
  <c r="T9" i="17"/>
  <c r="S75" i="17"/>
  <c r="S77" i="17" s="1"/>
  <c r="S59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<sst xmlns="http://schemas.openxmlformats.org/spreadsheetml/2006/main" count="3539" uniqueCount="1731">
  <si>
    <t>ESCALATION (%):</t>
  </si>
  <si>
    <t xml:space="preserve"> </t>
  </si>
  <si>
    <t>DESCRIPTION</t>
  </si>
  <si>
    <t>QUANTITY</t>
  </si>
  <si>
    <t>U/M</t>
  </si>
  <si>
    <t>LABOR</t>
  </si>
  <si>
    <t>MATERIAL</t>
  </si>
  <si>
    <t>SUB</t>
  </si>
  <si>
    <t>TOTAL</t>
  </si>
  <si>
    <t>CONTRACT</t>
  </si>
  <si>
    <t>FREIGHT</t>
  </si>
  <si>
    <t>SPEC No.</t>
  </si>
  <si>
    <t>SPEC TITLE</t>
  </si>
  <si>
    <t>MODEL NUMBER</t>
  </si>
  <si>
    <t>LS</t>
  </si>
  <si>
    <t>CONTINGENCY (%):</t>
  </si>
  <si>
    <t xml:space="preserve">UNIT COST </t>
  </si>
  <si>
    <t>CATEGORY SUBTOTAL</t>
  </si>
  <si>
    <t>LIABILITY INSURANCE $/1000</t>
  </si>
  <si>
    <t xml:space="preserve">  * * * * * * * * * * * * * * TOTAL COST * * * * * * * * * * * * * * * * * *</t>
  </si>
  <si>
    <t xml:space="preserve">   * * * * * * * * * * * UNIT COST * * * * * * * * * * * * * * *</t>
  </si>
  <si>
    <t>Remarks</t>
  </si>
  <si>
    <t>TAX</t>
  </si>
  <si>
    <t>LABOR FEE (%):</t>
  </si>
  <si>
    <t>PROJECT FEE (%):</t>
  </si>
  <si>
    <t>SUBTOTAL</t>
  </si>
  <si>
    <t>Receiving &amp; Cleanup</t>
  </si>
  <si>
    <t>Parking</t>
  </si>
  <si>
    <t>Days</t>
  </si>
  <si>
    <t>All CATEGORY SUBTOTAL</t>
  </si>
  <si>
    <t>Preconstruction</t>
  </si>
  <si>
    <t>BIM &amp;Engineering</t>
  </si>
  <si>
    <t>Onsite Supervision</t>
  </si>
  <si>
    <t>check must equal zero</t>
  </si>
  <si>
    <t>WORK CATEGORY : Summary</t>
  </si>
  <si>
    <t>Misc. Hardware</t>
  </si>
  <si>
    <t>Shop Dwgs. &amp; Field Verify</t>
  </si>
  <si>
    <t>BOND (%)</t>
  </si>
  <si>
    <t>GRAND TOTAL</t>
  </si>
  <si>
    <t>SUB TOTAL</t>
  </si>
  <si>
    <t>PROJECT TOTAL</t>
  </si>
  <si>
    <t xml:space="preserve">BID INFO: </t>
  </si>
  <si>
    <t xml:space="preserve">PROJECT : </t>
  </si>
  <si>
    <t xml:space="preserve">LOCATION : </t>
  </si>
  <si>
    <t>BASE BID</t>
  </si>
  <si>
    <t>ACTUAL</t>
  </si>
  <si>
    <t>BUYOUT SAVINGS</t>
  </si>
  <si>
    <t>WORK CATEGORY: Summary</t>
  </si>
  <si>
    <t>LABOR FACTOR</t>
  </si>
  <si>
    <t>LABOR RATE</t>
  </si>
  <si>
    <t>ITEM QUANTITY</t>
  </si>
  <si>
    <t>PLAN CALLOUT</t>
  </si>
  <si>
    <t>OVERHEAD (%):</t>
  </si>
  <si>
    <t>Total fee on job</t>
  </si>
  <si>
    <t>FEE (%):</t>
  </si>
  <si>
    <t>Tax Rate:</t>
  </si>
  <si>
    <t>Misc. Hardware &amp; Tools</t>
  </si>
  <si>
    <t xml:space="preserve">BID INFO:  </t>
  </si>
  <si>
    <t>Lifts &amp; Rentals</t>
  </si>
  <si>
    <t>BREAKOUT COST</t>
  </si>
  <si>
    <t>BREAKOUT UNIT PRICE</t>
  </si>
  <si>
    <t>ROUND UP TOTALS TOOL</t>
  </si>
  <si>
    <t xml:space="preserve">PROJECT:  </t>
  </si>
  <si>
    <t>Project Start Date</t>
  </si>
  <si>
    <t>Project End Date</t>
  </si>
  <si>
    <t>Labor Rate</t>
  </si>
  <si>
    <t>Escalation</t>
  </si>
  <si>
    <t>Overhead</t>
  </si>
  <si>
    <t>Scope Budget Breakdown</t>
  </si>
  <si>
    <t>SB</t>
  </si>
  <si>
    <t>NBS</t>
  </si>
  <si>
    <t>Labor</t>
  </si>
  <si>
    <t>Superintendent</t>
  </si>
  <si>
    <t>Installation Material</t>
  </si>
  <si>
    <t>Rental</t>
  </si>
  <si>
    <t>OH</t>
  </si>
  <si>
    <t>Fee</t>
  </si>
  <si>
    <t>SB SP Total</t>
  </si>
  <si>
    <t>NBS Scope PA Amount</t>
  </si>
  <si>
    <t>Scope Total</t>
  </si>
  <si>
    <t>Check</t>
  </si>
  <si>
    <t>BOBRICK</t>
  </si>
  <si>
    <t>MATERIAL COST</t>
  </si>
  <si>
    <t>COPY COST ROW</t>
  </si>
  <si>
    <t>COPY DESCRIPTION ROW</t>
  </si>
  <si>
    <t>SoCal Labor Rates</t>
  </si>
  <si>
    <t>Field Verification</t>
  </si>
  <si>
    <t>BOND (%):</t>
  </si>
  <si>
    <t>INSURANCE (%):</t>
  </si>
  <si>
    <t>Insurance (%)</t>
  </si>
  <si>
    <t>Bond (%)</t>
  </si>
  <si>
    <t>INSURANCE (1.25%):</t>
  </si>
  <si>
    <t>Total Bond</t>
  </si>
  <si>
    <t>Total Insurance</t>
  </si>
  <si>
    <t>Version 2.1</t>
  </si>
  <si>
    <t xml:space="preserve">SHIP TO:  </t>
  </si>
  <si>
    <t>B-221</t>
  </si>
  <si>
    <t>Model</t>
  </si>
  <si>
    <t>Description</t>
  </si>
  <si>
    <t>US Net</t>
  </si>
  <si>
    <t>B-40</t>
  </si>
  <si>
    <t>Soap Dispenser, 2-Tone Black/Grey ABS – 40-fl. oz.</t>
  </si>
  <si>
    <t>B-42</t>
  </si>
  <si>
    <t>Soap Dispenser, All Black ABS – 40-fl. oz.</t>
  </si>
  <si>
    <t>B-211</t>
  </si>
  <si>
    <t>Heavy-Duty Clothes Hook with Exposed Mounting</t>
  </si>
  <si>
    <t>B-212</t>
  </si>
  <si>
    <t>Clothes Hook with Bumper</t>
  </si>
  <si>
    <t>Toilet Seat Cover Dispenser, Stainless Steel</t>
  </si>
  <si>
    <t>B-233</t>
  </si>
  <si>
    <t>Clothes Hook</t>
  </si>
  <si>
    <t>B-253</t>
  </si>
  <si>
    <t>Surface-Mounted Roll-Paper-Towel Dispenser</t>
  </si>
  <si>
    <t>B-254</t>
  </si>
  <si>
    <t>Sanitary Napkin Disposal, 1.2-Gal.</t>
  </si>
  <si>
    <t>B-262</t>
  </si>
  <si>
    <t>Paper Towel Dispenser, 400 C-Fold or Multifold, Tumbler Lock</t>
  </si>
  <si>
    <t>B-263</t>
  </si>
  <si>
    <t>Paper Towel Dispenser, Stainless Steel – Singlefold</t>
  </si>
  <si>
    <t>B-264</t>
  </si>
  <si>
    <t>Single-Roll Toilet Tissue Dispenser</t>
  </si>
  <si>
    <t>B-265</t>
  </si>
  <si>
    <t>Double-Roll Toilet Tissue Dispenser</t>
  </si>
  <si>
    <t>B-270</t>
  </si>
  <si>
    <t>Sanitary Napkin Disposal, Stainless Steel, 1.0-Gal</t>
  </si>
  <si>
    <t>B-272</t>
  </si>
  <si>
    <t>Toilet Tissue Cabinet for Folded Tissue</t>
  </si>
  <si>
    <t>B-273</t>
  </si>
  <si>
    <t>Single-Roll Toilet Tissue Dispenser with Controlled Delivery</t>
  </si>
  <si>
    <t>B-274</t>
  </si>
  <si>
    <t>Double-Roll Toilet Tissue Dispenser with Controlled Delivery</t>
  </si>
  <si>
    <t>B-275</t>
  </si>
  <si>
    <t>Waste Receptacle, Stainless Steel – 20-Gal.</t>
  </si>
  <si>
    <t>B-277</t>
  </si>
  <si>
    <t>Waste Receptacle, Stainless Steel, 12.75-Gal.</t>
  </si>
  <si>
    <t>B-279</t>
  </si>
  <si>
    <t>Waste Receptacle, Stainless Steel – 6.4-Gal.</t>
  </si>
  <si>
    <t>B-287</t>
  </si>
  <si>
    <t>Folding Utility Shelf</t>
  </si>
  <si>
    <t>B-297</t>
  </si>
  <si>
    <t>Medicine Cabinet, Surface-Mounted – 2 Shelves</t>
  </si>
  <si>
    <t>B-299</t>
  </si>
  <si>
    <t>Medicine Cabinet, Surface-Mounted – 4 Shelves</t>
  </si>
  <si>
    <t>B-301</t>
  </si>
  <si>
    <t>Toilet Seat Cover Dispenser</t>
  </si>
  <si>
    <t>B-306</t>
  </si>
  <si>
    <t>Recessed Soap Dispenser, 45-fl. oz.</t>
  </si>
  <si>
    <t>B-318</t>
  </si>
  <si>
    <t>Paper Towel Dispenser – Recessed Cabinet</t>
  </si>
  <si>
    <t>B-347</t>
  </si>
  <si>
    <t>Partition-Mounted Toilet Seat Cover Dispenser and Dual-Roll Dispenser</t>
  </si>
  <si>
    <t>B-353</t>
  </si>
  <si>
    <t>Recessed Sanitary Napkin Disposal, 1.2-Gal.</t>
  </si>
  <si>
    <t>B-354</t>
  </si>
  <si>
    <t>Partition-Mounted Sanitary Napkin Disposal, 1.2-Gal. for 2 Compartments</t>
  </si>
  <si>
    <t>B-357</t>
  </si>
  <si>
    <t>Partition-Mounted Seat Cover Dispenser Napkin Disposal, 0.8-Gal. Dual-Roll Toilet Tissue Dispenser</t>
  </si>
  <si>
    <t>B-359</t>
  </si>
  <si>
    <t>Paper Towel Dispenser – C-Fold and Multifold</t>
  </si>
  <si>
    <t>B-369</t>
  </si>
  <si>
    <t>Recessed Paper Towel Dispenser/Waste Receptacle</t>
  </si>
  <si>
    <t>B-386</t>
  </si>
  <si>
    <t>Partition-Mounted Multi-Roll Toilet Tissue Dispenser</t>
  </si>
  <si>
    <t>B-397</t>
  </si>
  <si>
    <t>Medicine Cabinet, Recessed – 3 Shelves</t>
  </si>
  <si>
    <t>B-398</t>
  </si>
  <si>
    <t>Medicine Cabinet, Stainless Steel, Recessed – 4 Shelves</t>
  </si>
  <si>
    <t>B-505</t>
  </si>
  <si>
    <t>Specimen Pass-Through Cabinet, Recessed</t>
  </si>
  <si>
    <t>B-517</t>
  </si>
  <si>
    <t>Folding Shower Seat, Padded – Right Hand</t>
  </si>
  <si>
    <t>B-518</t>
  </si>
  <si>
    <t>Folding Shower Seat, Padded – Left Hand</t>
  </si>
  <si>
    <t>B-530x18</t>
  </si>
  <si>
    <t>Extra-Heavy-Duty Surface-Mounted Towel Bar- 18"</t>
  </si>
  <si>
    <t>B-530x24</t>
  </si>
  <si>
    <t>Extra-Heavy-Duty Surface-Mounted Towel Bar- 24"</t>
  </si>
  <si>
    <t>B-526</t>
  </si>
  <si>
    <t>Paper Towel Dispenser for Countertops</t>
  </si>
  <si>
    <t>B-527</t>
  </si>
  <si>
    <t>Waste Door for Countertops</t>
  </si>
  <si>
    <t>B-529</t>
  </si>
  <si>
    <t>Circular Countertop-Mounted Waste Chute, Stainless Steel</t>
  </si>
  <si>
    <t>B-532</t>
  </si>
  <si>
    <t>B-540</t>
  </si>
  <si>
    <t>Surface-Mounted Toilet Tissue Dispenser &amp; Utility Shelf, Satin Finish</t>
  </si>
  <si>
    <t>B-541</t>
  </si>
  <si>
    <t>Spare Toilet Roll Holder, Satin Finish</t>
  </si>
  <si>
    <t>B-542</t>
  </si>
  <si>
    <t>Coat Hook, Satin Finish</t>
  </si>
  <si>
    <t>B-543</t>
  </si>
  <si>
    <t>Surface-Mounted Single Roll Toilet Tissue Dispenser, Satin Finish</t>
  </si>
  <si>
    <t>B-544</t>
  </si>
  <si>
    <t>Toilet Brush Holder, Satin Finish</t>
  </si>
  <si>
    <t>B-546</t>
  </si>
  <si>
    <t>Surface-Mounted Single Roll Toilet Tissue Dispenser with Hood</t>
  </si>
  <si>
    <t>B-547</t>
  </si>
  <si>
    <t>Surface-Mounted Double Roll Toilet Tissue Dispenser</t>
  </si>
  <si>
    <t>B-548</t>
  </si>
  <si>
    <t>Surface-Mounted Double Roll Toilet Tissue Dispenser with Hoods</t>
  </si>
  <si>
    <t>B-549</t>
  </si>
  <si>
    <t>Double Coat Hook</t>
  </si>
  <si>
    <t>B-635</t>
  </si>
  <si>
    <t>Klutch Mobile Device Holder</t>
  </si>
  <si>
    <t>B-667</t>
  </si>
  <si>
    <t>Toilet Tissue Dispenser with Mounting Clamp, Bright Finish</t>
  </si>
  <si>
    <t>B-670</t>
  </si>
  <si>
    <t>Utility Hook, Bright Polished</t>
  </si>
  <si>
    <t>B-671</t>
  </si>
  <si>
    <t>Single Robe Hook, Bright Finish</t>
  </si>
  <si>
    <t>B-672</t>
  </si>
  <si>
    <t>Double Robe Hook, Bright Finish</t>
  </si>
  <si>
    <t>B-677</t>
  </si>
  <si>
    <t>Towel Pin, Bright Finish</t>
  </si>
  <si>
    <t>B-680</t>
  </si>
  <si>
    <t>Soap Dish, Bright Finish</t>
  </si>
  <si>
    <t>B-682</t>
  </si>
  <si>
    <t>Hat and Coat Hook</t>
  </si>
  <si>
    <t>B-685</t>
  </si>
  <si>
    <t>Toilet Tissue Dispenser – Single Roll, Bright Finish</t>
  </si>
  <si>
    <t>B-686</t>
  </si>
  <si>
    <t>Toilet Tissue Dispenser – Two Rolls, Bright Finish</t>
  </si>
  <si>
    <t>B-687</t>
  </si>
  <si>
    <t xml:space="preserve">Door Bumper, Surface-Mounted </t>
  </si>
  <si>
    <t>B-697</t>
  </si>
  <si>
    <t>Toilet Tissue Dispenser, 2 Rolls, Mounting Clamp, Bright Finish</t>
  </si>
  <si>
    <t>B-699</t>
  </si>
  <si>
    <t>Toilet Tissue Dispenser, Hoods, 2 Rolls, Mounting Clamp, Bright Finish</t>
  </si>
  <si>
    <t>B-820</t>
  </si>
  <si>
    <t>Multi-Feed Soap Reservoir</t>
  </si>
  <si>
    <t>B-822</t>
  </si>
  <si>
    <t>Liquid Dispenser, 34-fl. oz., 4" Spout – for Lav. up to 4" Thick</t>
  </si>
  <si>
    <t>B-823</t>
  </si>
  <si>
    <t>Foam Dispenser, 34-fl. oz., 4" Spout – for Lav. up to 3" Thick</t>
  </si>
  <si>
    <t>B-824</t>
  </si>
  <si>
    <t>Liquid Dispenser, 34-fl. oz., 6-3/4" Spout – for Lav. up to 2" Thick</t>
  </si>
  <si>
    <t>B-826</t>
  </si>
  <si>
    <t>Automatic Touch-Free Lavatory-Mounted Soap Dispenser, Liquid</t>
  </si>
  <si>
    <t>B-826.18</t>
  </si>
  <si>
    <t>Starter Kit with B-826 Dispenser, 800ml lotion soap refill, 4 batteries</t>
  </si>
  <si>
    <t>B-828</t>
  </si>
  <si>
    <t>Foam Dispenser, 34-fl. oz., 6-3/4" Spout – for Lav. up to 2" Thick</t>
  </si>
  <si>
    <t>B-830</t>
  </si>
  <si>
    <t xml:space="preserve">Cabinet, Stainless Steel Construction, with Low Soap Indicator (LSI) Light	</t>
  </si>
  <si>
    <t>B-840</t>
  </si>
  <si>
    <t>Counter-Mounted Automatic Soap Dispenser, Polished Brass, 34-fl. Oz.</t>
  </si>
  <si>
    <t>B-842</t>
  </si>
  <si>
    <t>Counter-Mounted Automatic Soap Dispenser, Matte Black, 34-fl. Oz.</t>
  </si>
  <si>
    <t>B-845</t>
  </si>
  <si>
    <t>Counter-Mounted Automatic Soap Dispenser, Brushed Nickel, 34-fl. Oz.</t>
  </si>
  <si>
    <t>B-846</t>
  </si>
  <si>
    <t>Counter-Mounted Automatic Soap Dispenser, Polished Nickel, 34-fl. Oz.</t>
  </si>
  <si>
    <t>B-848</t>
  </si>
  <si>
    <t>Counter-Mounted Automatic Soap Dispenser, Polished Chrome, 34-fl. Oz.</t>
  </si>
  <si>
    <t>B-850</t>
  </si>
  <si>
    <t>B-852</t>
  </si>
  <si>
    <t>B-855</t>
  </si>
  <si>
    <t>B-856</t>
  </si>
  <si>
    <t>B-858</t>
  </si>
  <si>
    <t>B-922</t>
  </si>
  <si>
    <t>Top-Fill Reservoir Soap Dispenser, 4 in. Spout, 0.9-gal. (3.3-L)</t>
  </si>
  <si>
    <t>B-942</t>
  </si>
  <si>
    <t>Frameless Stainless Steel Mirror, Front Mounting</t>
  </si>
  <si>
    <t>B-983</t>
  </si>
  <si>
    <t>Clothes Hook for Front Mounting</t>
  </si>
  <si>
    <t>B-985</t>
  </si>
  <si>
    <t>Clothes Hook Strip for Front Mounting</t>
  </si>
  <si>
    <t>B-2012</t>
  </si>
  <si>
    <t>Automatic Wall-Mounted Soap Dispenser, 30-fl. oz.</t>
  </si>
  <si>
    <t>B-2013</t>
  </si>
  <si>
    <t>Automatic Wall-Mounted Foam Soap Dispenser, 27-fl. Oz</t>
  </si>
  <si>
    <t>B-2111</t>
  </si>
  <si>
    <t>Soap Dispenser, Vertical Tank Type, 40-fl. oz.</t>
  </si>
  <si>
    <t>B-2112</t>
  </si>
  <si>
    <t>Soap Dispenser, Horizontal Tank Type, 40-fl. oz.</t>
  </si>
  <si>
    <t>B-2116</t>
  </si>
  <si>
    <t>B-2250</t>
  </si>
  <si>
    <t>Waste Receptacle with Top – 13-Gal.</t>
  </si>
  <si>
    <t>B-2260</t>
  </si>
  <si>
    <t>Waste Receptacle without Top – 13-Gal.</t>
  </si>
  <si>
    <t>B-2280</t>
  </si>
  <si>
    <t>Waste Receptacle without Top – 21-Gal.</t>
  </si>
  <si>
    <t>B-2300</t>
  </si>
  <si>
    <t>Waste Receptacle with Black Dome-Top – 18-Gal.</t>
  </si>
  <si>
    <t>B-2400</t>
  </si>
  <si>
    <t>Large-Capacity Waste Receptacle – 33-Gal.</t>
  </si>
  <si>
    <t>B-2583</t>
  </si>
  <si>
    <t>Anchor for Installation of Individual Grab Bar Through 3/4" to 1" Thick Toilet Compt. Panel - One Required for Each Flange</t>
  </si>
  <si>
    <t>B-2586</t>
  </si>
  <si>
    <t>Anchor for Installation of Individual Grab Bar Through 1/2" Thick Toilet Compt. Panel - One Required for Each Flange</t>
  </si>
  <si>
    <t>B-2620</t>
  </si>
  <si>
    <t>Paper Towel Dispenser, 400 C-Fold or Multifold, Knob Latch</t>
  </si>
  <si>
    <t>B-2621</t>
  </si>
  <si>
    <t>Paper Towel Dispenser, 200 C-Fold or Multifold, Knob Latch</t>
  </si>
  <si>
    <t>B-2730</t>
  </si>
  <si>
    <t>Single-Roll Toilet Tissue Dispenser without Controlled Delivery</t>
  </si>
  <si>
    <t>B-2740</t>
  </si>
  <si>
    <t>Double-Roll Toilet Tissue Dispenser without Controlled Delivery</t>
  </si>
  <si>
    <t>B-2840</t>
  </si>
  <si>
    <t>Stainless Steel Shelf and Double-Roll Toilet Tissue Dispenser</t>
  </si>
  <si>
    <t>B-2860</t>
  </si>
  <si>
    <t>Roll Paper Towel Dispenser</t>
  </si>
  <si>
    <t>B-2888</t>
  </si>
  <si>
    <t>Multi-Roll Toilet Tissue Dispenser, Stainless Steel</t>
  </si>
  <si>
    <t>B-2890</t>
  </si>
  <si>
    <t>Single 10" Roll Toilet Tissue Disp., for 3" diameter core rolls</t>
  </si>
  <si>
    <t>B-2892</t>
  </si>
  <si>
    <t>Twin 10" Roll Toilet Tissue Disp., for 2-1/4" diameter core rolls</t>
  </si>
  <si>
    <t>B-2974</t>
  </si>
  <si>
    <t>Automatic, Universal Surface-Mtd. Roll Paper Towel Dispenser</t>
  </si>
  <si>
    <t>B-3013</t>
  </si>
  <si>
    <t>B-3091</t>
  </si>
  <si>
    <t>Recessed-Mounted Toilet Tissue, Seat-Cover Dispenser and Waste Disposal,
Left Side</t>
  </si>
  <si>
    <t>B-3092</t>
  </si>
  <si>
    <t>Recessed-Mounted Toilet Tissue, Seat-Cover Dispenser and Waste Disposal, Right Side</t>
  </si>
  <si>
    <t>B-3094</t>
  </si>
  <si>
    <t>Napkin Disposal, 3/4-Gal. and Toilet Tissue Dispenser – Recessed</t>
  </si>
  <si>
    <t>B-3471</t>
  </si>
  <si>
    <t>Partition-Mounted Seat Cover Dispenser Dual-Roll Disp. – Accessible Design</t>
  </si>
  <si>
    <t>B-3474</t>
  </si>
  <si>
    <t>Recessed Seat Cover Dispenser and Dual-Roll Toilet Tissue Dispenser</t>
  </si>
  <si>
    <t>B-3479</t>
  </si>
  <si>
    <t>Surface-Mounted Seat Cover Dispenser and Dual-Roll Toilet Tissue Disp.</t>
  </si>
  <si>
    <t>B-3513</t>
  </si>
  <si>
    <t>Recessed Sanitary Napkin Disposal, 0.6-Gal. – TrimLineSeries</t>
  </si>
  <si>
    <t>B-3541</t>
  </si>
  <si>
    <t>Surface-Mounted Sanitary Disposal Bag Dispenser</t>
  </si>
  <si>
    <t>B-3571</t>
  </si>
  <si>
    <t xml:space="preserve">Partiton-Mounted Seat Cover Dispenser Disposal, 0.8-Gal. Toilet Tissue Dispenser – Accessible Design </t>
  </si>
  <si>
    <t>B-3574</t>
  </si>
  <si>
    <t>Recessed Seat Cover Dispenser, Disposal, 0.8-Gal. Toilet Tissue Dispenser</t>
  </si>
  <si>
    <t>B-3579</t>
  </si>
  <si>
    <t>Surface-Mounted Seat Cover Dispenser Disposal, 0.8-Gal. Toilet Tissue 
Dispenser</t>
  </si>
  <si>
    <t>B-3588</t>
  </si>
  <si>
    <t>Surface-Mtd. Multi-Roll Toilet Tissue Dispenser – TrimLineSeries</t>
  </si>
  <si>
    <t>B-3644</t>
  </si>
  <si>
    <t>Waste Receptacle, Requires 4" Wall Recess – 12-Gal.</t>
  </si>
  <si>
    <t>B-3699</t>
  </si>
  <si>
    <t>Surface-Mounted Paper Towel Dispenser and Waste Receptacle</t>
  </si>
  <si>
    <t>B-3803</t>
  </si>
  <si>
    <t>Recessed Paper Towel Dispenser and Waste Receptacle</t>
  </si>
  <si>
    <t>B-3888</t>
  </si>
  <si>
    <t>B-3940</t>
  </si>
  <si>
    <t>Recessed Convertible Paper Towel Dispenser/Waste Receptacle</t>
  </si>
  <si>
    <t>B-3942</t>
  </si>
  <si>
    <t>Convertible Semi-Recessed Paper Towel Disp./Waste Recep. – 12-Gal.</t>
  </si>
  <si>
    <t>B-3944</t>
  </si>
  <si>
    <t>Convertible Paper Towel Disp./Waste Recep. for 4" Wall – 12-Gal.</t>
  </si>
  <si>
    <t>B-3947</t>
  </si>
  <si>
    <t>Convertible Paper Towel Disp./Waste Receptacle for 4" Wall-18-Gal.</t>
  </si>
  <si>
    <t>B-3949</t>
  </si>
  <si>
    <t>Convertible Surface-Mounted. Paper Towel Disp./Waste Recep.-12-Gal.</t>
  </si>
  <si>
    <t>B-3961</t>
  </si>
  <si>
    <t>Convertible Paper Towel Disp./Waste Receptacle for 4" Wall-12-Gal.</t>
  </si>
  <si>
    <t>B-3974</t>
  </si>
  <si>
    <t>Recessed Automatic Universal Roll Paper Towel Dispenser / Waste  Receptacle-12-Gal.</t>
  </si>
  <si>
    <t>B-3979</t>
  </si>
  <si>
    <t>Surface-Mounted Convertible Paper Towel Dispenser/Waste Receptacle</t>
  </si>
  <si>
    <t>B-4063</t>
  </si>
  <si>
    <t>Recessed Soap Disp., 50-fl. oz.</t>
  </si>
  <si>
    <t>B-4112</t>
  </si>
  <si>
    <t>Soap Dispenser, 40-fl. Oz.</t>
  </si>
  <si>
    <t>B-4221</t>
  </si>
  <si>
    <t>B-4262</t>
  </si>
  <si>
    <t>Paper Towel Dispenser</t>
  </si>
  <si>
    <t>B-4288</t>
  </si>
  <si>
    <t>Multi-Roll Toilet Tissue Dispenser, Stainless Steel – ConturaSeries</t>
  </si>
  <si>
    <t>B-4353</t>
  </si>
  <si>
    <t>Sanitary Napkin Disposal, 1.2-Gal. – ConturaSeries</t>
  </si>
  <si>
    <t>B-4354</t>
  </si>
  <si>
    <t>Partition-Mounted Sanitary Napkin Disposal, 0.7-Gal. – ConturaSeries</t>
  </si>
  <si>
    <t>B-4369</t>
  </si>
  <si>
    <t>Paper Towel Disp. and Waste Recep., 2.6-Gal.</t>
  </si>
  <si>
    <t>B-4380</t>
  </si>
  <si>
    <t>Soap Dish with Mounting Clamp for Stud Walls</t>
  </si>
  <si>
    <t>B-4388</t>
  </si>
  <si>
    <t>Multi-Roll Toilet Tissue Dispenser – ConturaSeries</t>
  </si>
  <si>
    <t>B-4998</t>
  </si>
  <si>
    <t>Swing-Up Grab Bar – Wall Mounted, Satin Finish</t>
  </si>
  <si>
    <t>B-4998.99</t>
  </si>
  <si>
    <t>Swing-Up Grab Bar – Wall Mounted, Peened Grip</t>
  </si>
  <si>
    <t>B-5050</t>
  </si>
  <si>
    <t>Liquid Soap Dispenser, 50-fl. oz.</t>
  </si>
  <si>
    <t>B-5116</t>
  </si>
  <si>
    <t>Single Clothes Hook</t>
  </si>
  <si>
    <t>B-5181</t>
  </si>
  <si>
    <t xml:space="preserve">Folding Shower Seat, Solid Phenolic – Reversible for LH or RH </t>
  </si>
  <si>
    <t>B-5191</t>
  </si>
  <si>
    <t>Folding Shower/Dressing Area Seat, Solid Phenolic</t>
  </si>
  <si>
    <t>B-5192</t>
  </si>
  <si>
    <t>Folding Shower Seat, Solid Phenolic</t>
  </si>
  <si>
    <t>B-5193</t>
  </si>
  <si>
    <t>Folding Shower Seat</t>
  </si>
  <si>
    <t>B-5221</t>
  </si>
  <si>
    <t>B-5262</t>
  </si>
  <si>
    <t>B-5270</t>
  </si>
  <si>
    <t>Surface-Mounted Sanitary Napkin Disposal</t>
  </si>
  <si>
    <t>B-5288</t>
  </si>
  <si>
    <t>Multi-Roll Toilet Tissue Dispenser, MatrixSeries</t>
  </si>
  <si>
    <t>B-5416</t>
  </si>
  <si>
    <t>Spare Toilet Roll Holder, Bright Polished</t>
  </si>
  <si>
    <t>B-5426</t>
  </si>
  <si>
    <t>Coat Hook, Bright Polished</t>
  </si>
  <si>
    <t>B-5436</t>
  </si>
  <si>
    <t>Surface-Mounted Single Roll Toilet Tissue Dispenser, Bright Polished</t>
  </si>
  <si>
    <t>B-5446</t>
  </si>
  <si>
    <t>Toilet Brush Holder, Bright Polished</t>
  </si>
  <si>
    <t>B-5837</t>
  </si>
  <si>
    <t>2-Wall Tub/Shower Compt. Grab Bar, 36" x 54"</t>
  </si>
  <si>
    <t>B-5854</t>
  </si>
  <si>
    <t>L-shaped grab bar 40"x30", Left</t>
  </si>
  <si>
    <t>B-5854.99</t>
  </si>
  <si>
    <t>L-shaped grab bar 40"x30", Left, Peened</t>
  </si>
  <si>
    <t>B-5892</t>
  </si>
  <si>
    <t>32mm (1-1/4") Diameter Stainless Stll Grab Bar with Padded Back Rest</t>
  </si>
  <si>
    <t>B-5897</t>
  </si>
  <si>
    <t>2-Wall, Toilet Compt. Grab Bar, 42" x 54"</t>
  </si>
  <si>
    <t>B-5897.99</t>
  </si>
  <si>
    <t>2-Wall, Toilet Compt. Grab Bar, 42" x 54", Peened Grip</t>
  </si>
  <si>
    <t>B-5898</t>
  </si>
  <si>
    <t>90 Degree, Grab Bar, 30" x 30"</t>
  </si>
  <si>
    <t>B-5898.99</t>
  </si>
  <si>
    <t>90 Degree, Grab Bar, 30" x 30", Peened Grip</t>
  </si>
  <si>
    <t>B-6637</t>
  </si>
  <si>
    <t>Toilet Tissue Dispenser with Storage for Extra Roll, Bright Finish</t>
  </si>
  <si>
    <t>B-6677</t>
  </si>
  <si>
    <t>Toilet Tissue Dispenser with Mounting Clamp, Satin Finish</t>
  </si>
  <si>
    <t>B-6697</t>
  </si>
  <si>
    <t>Toilet Tissue Dispenser with Hood, Mounting Clamp, Satin Finish</t>
  </si>
  <si>
    <t>B-6699</t>
  </si>
  <si>
    <t>Surface-Mounted Toilet Tissue Dispenser with Hood, Bright Finish</t>
  </si>
  <si>
    <t>B-6707</t>
  </si>
  <si>
    <t xml:space="preserve">Utility Hook, </t>
  </si>
  <si>
    <t>B-6717</t>
  </si>
  <si>
    <t>Single Robe Hook, Satin Finish</t>
  </si>
  <si>
    <t>B-6727</t>
  </si>
  <si>
    <t>Double Robe Hook, Satin Finish</t>
  </si>
  <si>
    <t>B-6777</t>
  </si>
  <si>
    <t>Towel Pin, Satin Finish</t>
  </si>
  <si>
    <t>B-6807</t>
  </si>
  <si>
    <t>Soap Dish, Satin Finish</t>
  </si>
  <si>
    <t>B-6827</t>
  </si>
  <si>
    <t>B-6857</t>
  </si>
  <si>
    <t>Toilet Tissue Dispenser – Single Roll, Satin Finish</t>
  </si>
  <si>
    <t>B-6861</t>
  </si>
  <si>
    <t>Two-Wall Shower Grab Bar – 15-7/8" x 30-7/8"</t>
  </si>
  <si>
    <t>B-6861.99</t>
  </si>
  <si>
    <t>Two-Wall Shower Grab Bar – 15-7/8" x 30-7/8", Peened Grip</t>
  </si>
  <si>
    <t>B-6867</t>
  </si>
  <si>
    <t>Toilet Tissue Dispenser – Two Rolls, Satin Finish</t>
  </si>
  <si>
    <t>B-6897</t>
  </si>
  <si>
    <t>2-Wall, Toilet Compt. Grab Bar – 42" x 54"</t>
  </si>
  <si>
    <t>B-6897.99</t>
  </si>
  <si>
    <t>2-Wall, Toilet Compt. Grab Bar – 42" x 54", Peened Grip</t>
  </si>
  <si>
    <t>B-6898.99</t>
  </si>
  <si>
    <t>L-Shape, 90 Degree Grab Bar – 30" x 30", Peened Grip</t>
  </si>
  <si>
    <t>B-6977</t>
  </si>
  <si>
    <t>Toilet Tissue Dispenser, 2 Rolls, Mounting Clamp, Satin Finish</t>
  </si>
  <si>
    <t>B-6997</t>
  </si>
  <si>
    <t>Toilet Tissue Dispenser, Hoods, 2 Rolls, Mounting Clamp, Satin Finish</t>
  </si>
  <si>
    <t>B-6999</t>
  </si>
  <si>
    <t>Surface-Mounted Toilet Tissue Dispenser, Hoods, 2 Rolls, Bright Finish</t>
  </si>
  <si>
    <t>B-7125</t>
  </si>
  <si>
    <t>Surface-Mounted Automatic Hand Dryer Universal voltage from 110-240V</t>
  </si>
  <si>
    <t>B-7179</t>
  </si>
  <si>
    <t>Surface-Mounted Automatic Hand Dryer</t>
  </si>
  <si>
    <t>B-7671</t>
  </si>
  <si>
    <t>B-7672</t>
  </si>
  <si>
    <t>B-7685</t>
  </si>
  <si>
    <t>B-7686</t>
  </si>
  <si>
    <t>B-7816</t>
  </si>
  <si>
    <t>Charting Station / Shelf, Wall-Mounted</t>
  </si>
  <si>
    <t>B-8221</t>
  </si>
  <si>
    <t>Liquid Dispenser, 20-fl. oz., 4" Spout – for Lav. up to 1" Thick</t>
  </si>
  <si>
    <t>B-8226</t>
  </si>
  <si>
    <t>Liquid Dispenser, 34-fl. oz., 6" Spout – for Lav. up to 4" Thick</t>
  </si>
  <si>
    <t>B-8231</t>
  </si>
  <si>
    <t>Foam Dispenser, 20-fl. oz., 4" Spout – for Lav. up to 3" Thick</t>
  </si>
  <si>
    <t>B-8236</t>
  </si>
  <si>
    <t>Foam Dispenser, 34-fl. oz., 6" Spout – for Lav. up to 3" Thick</t>
  </si>
  <si>
    <t>B-8263</t>
  </si>
  <si>
    <t>Automatic Touch-Free Lavatory-Mounted Foam Soap Dispenser, Foam</t>
  </si>
  <si>
    <t>B-8263.18</t>
  </si>
  <si>
    <t>Starter Kit with B-8263 Dispenser, 800ml foam soap refill, 4 batteries</t>
  </si>
  <si>
    <t>B-8281</t>
  </si>
  <si>
    <t>Foam, Automatic, Top-Fill Bulk Soap Dispenser, Retrofit Solution</t>
  </si>
  <si>
    <t>B-8397</t>
  </si>
  <si>
    <t>Facial Tissue Dispenser – Satin Finish Stainless Steel</t>
  </si>
  <si>
    <t>B-8870</t>
  </si>
  <si>
    <t>Faucet, Polished Brass</t>
  </si>
  <si>
    <t>B-8872</t>
  </si>
  <si>
    <t>Faucet, Matte Black</t>
  </si>
  <si>
    <t>B-8875</t>
  </si>
  <si>
    <t>Faucet, Brushed Nickel</t>
  </si>
  <si>
    <t>B-8876</t>
  </si>
  <si>
    <t>Faucet, Polished Nickel</t>
  </si>
  <si>
    <t>B-8878</t>
  </si>
  <si>
    <t>Faucet, Polished Chrome</t>
  </si>
  <si>
    <t>B-868</t>
  </si>
  <si>
    <t>NEW: Designer Series Automatic Top Fill Foam Soap Dispenser, Polished Chrome</t>
  </si>
  <si>
    <t>B-878</t>
  </si>
  <si>
    <t>NEW: Designer Series Automatic Top Fill Liquid Soap Dispenser, Polished Chrome</t>
  </si>
  <si>
    <t>B-8898</t>
  </si>
  <si>
    <t>NEW: Designer Series Automatic Faucet, Polished Chrome</t>
  </si>
  <si>
    <t>B-865</t>
  </si>
  <si>
    <t>NEW: Designer Series Automatic Top Fill Foam Soap Dispenser, Brushed Nickel</t>
  </si>
  <si>
    <t>B-875</t>
  </si>
  <si>
    <t>NEW: Designer Series Automatic Top Fill Liquid Soap Dispenser, Brushed Nickel</t>
  </si>
  <si>
    <t>B-8895</t>
  </si>
  <si>
    <t>NEW: Designer Series Automatic Faucet, Brushed Nickel</t>
  </si>
  <si>
    <t>B-862</t>
  </si>
  <si>
    <t>NEW: Designer Series Automatic Top Fill Foam Soap Dispenser, Matte Black</t>
  </si>
  <si>
    <t>B-872</t>
  </si>
  <si>
    <t>NEW: Designer Series Automatic Top Fill Liquid Soap Dispenser, Matte Black</t>
  </si>
  <si>
    <t>B-8892</t>
  </si>
  <si>
    <t>NEW: Designer Series Automatic Faucet, Matte Black</t>
  </si>
  <si>
    <t>B-9226</t>
  </si>
  <si>
    <t>Top-Fill Reservoir Soap Dispenser, 6 in. Spout, 0.9-gal. (3.3-L)</t>
  </si>
  <si>
    <t>B-9262</t>
  </si>
  <si>
    <t>Surface-Mounted Paper Towel Dispenser</t>
  </si>
  <si>
    <t>B-9279</t>
  </si>
  <si>
    <t>Surface-Mounted Waste Receptacle</t>
  </si>
  <si>
    <t>B-9542</t>
  </si>
  <si>
    <t>Surface-Mounted Coat Hook</t>
  </si>
  <si>
    <t>B-9543</t>
  </si>
  <si>
    <t>Surface-Mounted Single Toilet Roll Holder</t>
  </si>
  <si>
    <t>B-9547</t>
  </si>
  <si>
    <t>Surface-Mounted Double Toilet Roll Holder</t>
  </si>
  <si>
    <t>B-9881</t>
  </si>
  <si>
    <t>Vertical Bay C-Fold Paper Holder- Double</t>
  </si>
  <si>
    <t>B-9882</t>
  </si>
  <si>
    <t>Spindle Button Semi-Recessed TP Holder</t>
  </si>
  <si>
    <t>B-9883</t>
  </si>
  <si>
    <t>Recessed Shelf</t>
  </si>
  <si>
    <t>B-9884</t>
  </si>
  <si>
    <t>Ligature-Resistant Adjustable Auto-Rele</t>
  </si>
  <si>
    <t>B-9890</t>
  </si>
  <si>
    <t>Toilet Tissue Dispenser, Jumbo Roll</t>
  </si>
  <si>
    <t>B-26212</t>
  </si>
  <si>
    <t>Paper Towel Dispenser, 200 C-Fold or Multifold, Tumbler Lock</t>
  </si>
  <si>
    <t>B-26607</t>
  </si>
  <si>
    <t>Surface-Mounted Liquid Soap Dispenser, 17-fl. oz.</t>
  </si>
  <si>
    <t>B-26617</t>
  </si>
  <si>
    <t>Surface-Mounted Liquid Soap Dispenser, 1-L.</t>
  </si>
  <si>
    <t>B-26627</t>
  </si>
  <si>
    <t>Surface-Mounted Foam Soap Dispenser, 17-fl. oz.</t>
  </si>
  <si>
    <t>B-26637</t>
  </si>
  <si>
    <t>Surface-Mounted Foam Soap Dispenser, 1-L.</t>
  </si>
  <si>
    <t>B-27313</t>
  </si>
  <si>
    <t>Surface-Mounted Three Roll Toilet Tissue Dispenser</t>
  </si>
  <si>
    <t>B-27460</t>
  </si>
  <si>
    <t>Dbl.-Roll T.T. Disp., Tumbler Lock, without Controlled Delivery</t>
  </si>
  <si>
    <t>B-29744</t>
  </si>
  <si>
    <t xml:space="preserve">Automatic, Universal Semi-Recessed Roll Paper Towel Dispenser </t>
  </si>
  <si>
    <t>B-30919</t>
  </si>
  <si>
    <t>Surface-Mounted Toilet Tissue, Seat-Cover Dispenser and Waste Disposal, 
Left Side</t>
  </si>
  <si>
    <t>B-30929</t>
  </si>
  <si>
    <t>Surface-Mounted Toilet Tissue, Seat-Cover Dispenser and Waste Disposal, Right Side</t>
  </si>
  <si>
    <t>B-34715</t>
  </si>
  <si>
    <t>B-34745</t>
  </si>
  <si>
    <t>B-35016</t>
  </si>
  <si>
    <t>Sharps Disposal, Recessed (Not available in Canada)</t>
  </si>
  <si>
    <t>B-35139</t>
  </si>
  <si>
    <t>Surface-Mtd. Sanitary Napkin Disposal, 0.6-Gal. – TrimLineSeries</t>
  </si>
  <si>
    <t>B-35303</t>
  </si>
  <si>
    <t>B-35633</t>
  </si>
  <si>
    <t>Recessed Waste Receptacle w/Disposal Door, 3-Gal.</t>
  </si>
  <si>
    <t>B-35639</t>
  </si>
  <si>
    <t>Surface-Mtd. Waste Receptacle w/Disposal Door, 3-Gal.</t>
  </si>
  <si>
    <t>B-35643</t>
  </si>
  <si>
    <t>Recessed Waste Receptacle, 12-Gal.</t>
  </si>
  <si>
    <t>B-35649</t>
  </si>
  <si>
    <t>Surface-Mtd. Waste Receptacle, 12-Gal.</t>
  </si>
  <si>
    <t>B-35715</t>
  </si>
  <si>
    <t>B-35745</t>
  </si>
  <si>
    <t>B-35883</t>
  </si>
  <si>
    <t>Recessed Multi-Roll Toilet Tissue Dispenser – TrimLineSeries</t>
  </si>
  <si>
    <t>B-35903</t>
  </si>
  <si>
    <t xml:space="preserve">Paper Towel Dispenser </t>
  </si>
  <si>
    <t>B-36903</t>
  </si>
  <si>
    <t>Paper Towel Dispenser and Waste Receptacle</t>
  </si>
  <si>
    <t>B-38032</t>
  </si>
  <si>
    <t>Semi-Recessed Paper Towel Disp., Waste Receptacle</t>
  </si>
  <si>
    <t>B-38034</t>
  </si>
  <si>
    <t>Paper Towel Disp., Waste Recep., 3-3/4" Wall Depth</t>
  </si>
  <si>
    <t>B-39003</t>
  </si>
  <si>
    <t xml:space="preserve">Paper Towel Dispenser and Waste Receptacle </t>
  </si>
  <si>
    <t>B-39617</t>
  </si>
  <si>
    <t>Convertible Paper Towel Disp./Waste Receptacle – 18-Gal.</t>
  </si>
  <si>
    <t>B-39619</t>
  </si>
  <si>
    <t>Convertible Surf.-Mtd. Roll Paper Towel Disp./Waste Recp. – 12-Gal.</t>
  </si>
  <si>
    <t>B-39747</t>
  </si>
  <si>
    <t xml:space="preserve">Recessed Automatic, Universal Roll Paper Towel Dispenser / Waste Receptacle-18-Gal. </t>
  </si>
  <si>
    <t>B-43644</t>
  </si>
  <si>
    <t>Waste Receptacle, 11.2-Gal. – ConturaSeries</t>
  </si>
  <si>
    <t>B-43699</t>
  </si>
  <si>
    <t xml:space="preserve">Surf.-Mtd. Paper Towel Disp., Waste Recep., 2.6-Gal. </t>
  </si>
  <si>
    <t>B-43944</t>
  </si>
  <si>
    <t xml:space="preserve">Paper Towel Disp. and Waste Recep., 15.0-Gal. </t>
  </si>
  <si>
    <t>B-43949</t>
  </si>
  <si>
    <t>Surf.-Mtd. Paper Towel Disp., Waste Recep., 15.0-Gal.</t>
  </si>
  <si>
    <t>B-49916</t>
  </si>
  <si>
    <t>Swing Up Grab Bar - Wall-Mounted, Vinyl-Coated</t>
  </si>
  <si>
    <t>B-50516</t>
  </si>
  <si>
    <t>Specimen Pass Through Cabinet, Recessed, 7" Depth</t>
  </si>
  <si>
    <t>B-50517</t>
  </si>
  <si>
    <t>Specimen Pass Through Cabinet, Recessed, 11" Depth</t>
  </si>
  <si>
    <t>B-51815</t>
  </si>
  <si>
    <t>Folding Shower Seat with Legs</t>
  </si>
  <si>
    <t>B-58546</t>
  </si>
  <si>
    <t>L-shaped grab bar 40"x30" right</t>
  </si>
  <si>
    <t>B-58546.99</t>
  </si>
  <si>
    <t>B-58616</t>
  </si>
  <si>
    <t>2-Wall Tub/Shower Compt. Grab Bar, 24" x 36"</t>
  </si>
  <si>
    <t>B-58616.99</t>
  </si>
  <si>
    <t>2-Wall Tub/Shower Compt. Grab Bar, 24" x 36", Peened Grip</t>
  </si>
  <si>
    <t>B-66997</t>
  </si>
  <si>
    <t>Surface-Mounted Toilet Tissue Dispenser with Hood, Satin Finish</t>
  </si>
  <si>
    <t>B-68137</t>
  </si>
  <si>
    <t>2-Wall Tub/Shower, Compt. Grab Bar – 36" x 54"</t>
  </si>
  <si>
    <t>B-68137.99</t>
  </si>
  <si>
    <t>2-Wall Tub/Shower, Compt. Grab Bar – 36" x 54", Peened Grip</t>
  </si>
  <si>
    <t>B-68616</t>
  </si>
  <si>
    <t>2-Wall Tub/Shower, Compt. Grab Bar – 24" x 36"</t>
  </si>
  <si>
    <t>B-68616.99</t>
  </si>
  <si>
    <t>2-Wall Tub/Shower, Compt. Grab Bar – 24" x 36", Peened Grip</t>
  </si>
  <si>
    <t>B-69997</t>
  </si>
  <si>
    <t>Surface-Mounted Toilet Tissue Dispenser, Hoods, 2 Rolls, Satin Finish</t>
  </si>
  <si>
    <t>B-72860</t>
  </si>
  <si>
    <t>B-72974</t>
  </si>
  <si>
    <t>Automatic, Universal Surface-Mtd. Roll Paper Towel Dispenser, Plastic</t>
  </si>
  <si>
    <t>B-76717</t>
  </si>
  <si>
    <t>B-76727</t>
  </si>
  <si>
    <t>B-76857</t>
  </si>
  <si>
    <t>B-76867</t>
  </si>
  <si>
    <t>B-81212</t>
  </si>
  <si>
    <t>Pink Lotion Soap Cartridge, Liquid, 12 Liters</t>
  </si>
  <si>
    <t>B-81312</t>
  </si>
  <si>
    <t>Premium Gold Soap Cartridge, Liquid, 12 Liters</t>
  </si>
  <si>
    <t>B-82216</t>
  </si>
  <si>
    <t>Liquid Dispenser, 20-fl. oz., 6" Spout – for Lav. up to 1" Thick</t>
  </si>
  <si>
    <t>B-82316</t>
  </si>
  <si>
    <t>Foam Dispenser, 20-fl. oz., 6" Spout – for Lav. up to 3" Thick</t>
  </si>
  <si>
    <t>B-82512</t>
  </si>
  <si>
    <t>EcoLogo Green Soap Cartridge, Foam, 12 Liters</t>
  </si>
  <si>
    <t>B-221216</t>
  </si>
  <si>
    <t>Waste Receptacle, Heavy-duty, Floor-Standing, Foot Operated, 12-gal.</t>
  </si>
  <si>
    <t>B-350169</t>
  </si>
  <si>
    <t>Sharps Disposal, Surface-Mounted (Not available in Canada)</t>
  </si>
  <si>
    <t>B-359033</t>
  </si>
  <si>
    <t>Recessed Paper Towel Dispenser</t>
  </si>
  <si>
    <t>B-359039</t>
  </si>
  <si>
    <t>Surface-Mtd. Paper Towel Dispenser – TrimLineSeries</t>
  </si>
  <si>
    <t>B-380349</t>
  </si>
  <si>
    <t>Surface-Mtd. Paper Towel Disp., Waste Receptacle</t>
  </si>
  <si>
    <t>B-818615</t>
  </si>
  <si>
    <t>Heavy-Duty Surface-Mounted Soap Dispenser, 40-fl. oz.,ConturaSeries</t>
  </si>
  <si>
    <t>B-150CX18.MBLK</t>
  </si>
  <si>
    <t>18" Straight Grab Bar with Concealed Flange, Matte Black</t>
  </si>
  <si>
    <t>B-150CX24.MBLK</t>
  </si>
  <si>
    <t>24" Straight Grab Bar with Concealed Flange, Matte Black</t>
  </si>
  <si>
    <t>B-150CX36.MBLK</t>
  </si>
  <si>
    <t>36" Straight Grab Bar with Concealed Flange, Matte Black</t>
  </si>
  <si>
    <t>B-150CX42.MBLK</t>
  </si>
  <si>
    <t>42" Straight Grab Bar with Concealed Flange, Matte Black</t>
  </si>
  <si>
    <t>B-150CX48.MBLK</t>
  </si>
  <si>
    <t>48" Straight Grab Bar with Concealed Flange, Matte Black</t>
  </si>
  <si>
    <t>B-1556 1824</t>
  </si>
  <si>
    <t>B-1556 1830</t>
  </si>
  <si>
    <t>B-1556 2436</t>
  </si>
  <si>
    <t>B-104 2448.MBLK</t>
  </si>
  <si>
    <t xml:space="preserve">NEW: Pill Shaped Matte Black Mirror 24" x 48" </t>
  </si>
  <si>
    <t>B-164 1830</t>
  </si>
  <si>
    <t>B-164 2436</t>
  </si>
  <si>
    <t>B-164 2442</t>
  </si>
  <si>
    <t>B-164 2739</t>
  </si>
  <si>
    <t>B-165 1824</t>
  </si>
  <si>
    <t>B-165 1830</t>
  </si>
  <si>
    <t>B-165 1836</t>
  </si>
  <si>
    <t>B-165 2430</t>
  </si>
  <si>
    <t>B-165 2436</t>
  </si>
  <si>
    <t>B-165 2448</t>
  </si>
  <si>
    <t>B-165 2460</t>
  </si>
  <si>
    <t>B-165 4836</t>
  </si>
  <si>
    <t>B-1658 1830</t>
  </si>
  <si>
    <t>B-1658 2436</t>
  </si>
  <si>
    <t>B-166 1824</t>
  </si>
  <si>
    <t>B-166 1830</t>
  </si>
  <si>
    <t>B-166 1836</t>
  </si>
  <si>
    <t>B-166 2436</t>
  </si>
  <si>
    <t>B-167 1844</t>
  </si>
  <si>
    <t>B-167 2436</t>
  </si>
  <si>
    <t>B-167 2448</t>
  </si>
  <si>
    <t>B-167 2632</t>
  </si>
  <si>
    <t>B-167 2739</t>
  </si>
  <si>
    <t>B-167 3226</t>
  </si>
  <si>
    <t>B-167 5442</t>
  </si>
  <si>
    <t>B-167 5626</t>
  </si>
  <si>
    <t>B-167 6642</t>
  </si>
  <si>
    <t>B-168 2739</t>
  </si>
  <si>
    <t>B-169 2436</t>
  </si>
  <si>
    <t>B-169 2448</t>
  </si>
  <si>
    <t>B-169 3040</t>
  </si>
  <si>
    <t>B-2012.MBLK</t>
  </si>
  <si>
    <t>Automatic Wall-Mounted Soap Dispenser, 30-fl. oz., Matte Black</t>
  </si>
  <si>
    <t>B-2013.MBLK</t>
  </si>
  <si>
    <t>Automatic Wall-Mounted Foam Soap Dispenser, 27-fl. Oz, Matte Black</t>
  </si>
  <si>
    <t>B-204-1</t>
  </si>
  <si>
    <t>Shower Curtain Hook (1) for 1 to 1-1/4" dia. Curtain Rods</t>
  </si>
  <si>
    <t>B-204-2</t>
  </si>
  <si>
    <t>Shower Curtain, 42" W x 72" H, White, Order 7 Hooks Separately</t>
  </si>
  <si>
    <t>B-204-3</t>
  </si>
  <si>
    <t>Shower Curtain, 70" W x 72" H, White, Order 12 Hooks Separately</t>
  </si>
  <si>
    <t>B-207x36</t>
  </si>
  <si>
    <t>1" Dia. Shower Curtain Rod, 36" L., End Flanges, Concealed Mtg.</t>
  </si>
  <si>
    <t>B-207x48</t>
  </si>
  <si>
    <t>1" Dia. Shower Curtain Rod, 48" L., End Flanges, Concealed Mtg.</t>
  </si>
  <si>
    <t>B-207x60</t>
  </si>
  <si>
    <t>1" Dia. Shower Curtain Rod, 60" L., End Flanges, Concealed Mtg.</t>
  </si>
  <si>
    <t>B-207x72</t>
  </si>
  <si>
    <t>1" Dia. Shower Curtain Rod, 72" L., End Flanges, Concealed Mtg.</t>
  </si>
  <si>
    <t>B-2111-79</t>
  </si>
  <si>
    <t>SureFlo Retrofit Soap Valve for Bobrick Soap Dispenser</t>
  </si>
  <si>
    <t>B-221.MBLK</t>
  </si>
  <si>
    <t>Toilet Seat Cover Dispenser, Matte Black</t>
  </si>
  <si>
    <t>B-223x24</t>
  </si>
  <si>
    <t>Mop and Broom Holder</t>
  </si>
  <si>
    <t>B-223x36</t>
  </si>
  <si>
    <t>B-224x36</t>
  </si>
  <si>
    <t>Shelf, 4 Mop Holders, 3 Rag Hooks – 36" Length</t>
  </si>
  <si>
    <t>B-232x24</t>
  </si>
  <si>
    <t>Hat and Coat Hook Strip</t>
  </si>
  <si>
    <t>B-239x34</t>
  </si>
  <si>
    <t>Shelf, 3 Mop Holders, 4 Rag Hooks – 34" Length</t>
  </si>
  <si>
    <t>B-251-4</t>
  </si>
  <si>
    <t>WingIt™ Grab Bar Fastener for 2-1/2" or deeper hollow walls One required for each flange</t>
  </si>
  <si>
    <t>B-252-30</t>
  </si>
  <si>
    <t>Mounting Kit – 3 Round-Head Sheet-Metal Screws – 1 Req. for Each Flange</t>
  </si>
  <si>
    <t>B-262-130</t>
  </si>
  <si>
    <t>TowelMate® for B-262, B-2620, B-2621, B-26212</t>
  </si>
  <si>
    <t>B-2706 25</t>
  </si>
  <si>
    <t>Surface-Mounted Push-Button Napkin/Tampon Vendor, Single-Coin 25¢
Operation</t>
  </si>
  <si>
    <t>B-2706C</t>
  </si>
  <si>
    <t>Surface-Mounted Push-Button Napkin/Tampon Vendor, Free no-coin Operation</t>
  </si>
  <si>
    <t>B-2706T</t>
  </si>
  <si>
    <t>Surface-Mounted Push-Button Napkin/Tampon Vendor, Token Operation</t>
  </si>
  <si>
    <t>B-283-604</t>
  </si>
  <si>
    <t>Theft-Resistant Spindle</t>
  </si>
  <si>
    <t>B-290 1830</t>
  </si>
  <si>
    <t>B-290 1830.MBLK</t>
  </si>
  <si>
    <t>B-290 1836</t>
  </si>
  <si>
    <t>B-290 1836.MBLK</t>
  </si>
  <si>
    <t>B-290 2430</t>
  </si>
  <si>
    <t>B-290 2430.MBLK</t>
  </si>
  <si>
    <t>B-290 2436</t>
  </si>
  <si>
    <t>B-290 2436.MBLK</t>
  </si>
  <si>
    <t>B-290 2448</t>
  </si>
  <si>
    <t>B-290 2448.MBLK</t>
  </si>
  <si>
    <t>B-290 2460</t>
  </si>
  <si>
    <t>B-290 2460.MBLK</t>
  </si>
  <si>
    <t>B-290 2472</t>
  </si>
  <si>
    <t>B-290 2472.MBLK</t>
  </si>
  <si>
    <t>B-2908 1830</t>
  </si>
  <si>
    <t>B-2908 1836</t>
  </si>
  <si>
    <t>B-2908 2436</t>
  </si>
  <si>
    <t>B-292 1836</t>
  </si>
  <si>
    <t>B-293 1830</t>
  </si>
  <si>
    <t>Fixed-Tilt Mirror, Stainless Steel Frame – 18" Wide x 30" High</t>
  </si>
  <si>
    <t>B-293 1836</t>
  </si>
  <si>
    <t>Fixed-Tilt Mirror, Stainless Steel Frame – 18" Wide x 36" High</t>
  </si>
  <si>
    <t>B-293 2436</t>
  </si>
  <si>
    <t>Fixed-Tilt Mirror, Stainless Steel Frame – 24" Wide x 36" High</t>
  </si>
  <si>
    <t>B-294 1830</t>
  </si>
  <si>
    <t>Tilting Mirror, Stainless Steel Frame – 18" Wide x 30" High</t>
  </si>
  <si>
    <t>B-295x16</t>
  </si>
  <si>
    <t>Stainless Steel Shelf – 5" Wide x 16" Long</t>
  </si>
  <si>
    <t>B-295x18</t>
  </si>
  <si>
    <t>Stainless Steel Shelf – 5" Wide x 18" Long</t>
  </si>
  <si>
    <t>B-295x24</t>
  </si>
  <si>
    <t>Stainless Steel Shelf – 5" Wide x 24" Long</t>
  </si>
  <si>
    <t>B-296x18</t>
  </si>
  <si>
    <t>Stainless Steel Shelf – 6" Wide x 18" Long</t>
  </si>
  <si>
    <t>B-298x18</t>
  </si>
  <si>
    <t>Stainless Steel Shelf – 8" Wide x 18" Long</t>
  </si>
  <si>
    <t>B-298x24</t>
  </si>
  <si>
    <t>Stainless Steel Shelf – 8" Wide x 24" Long</t>
  </si>
  <si>
    <t>B-3013.MBLK</t>
  </si>
  <si>
    <t>B-306.MBLK</t>
  </si>
  <si>
    <t>Recessed Soap Dispenser, 45-fl. Oz, Matte Black</t>
  </si>
  <si>
    <t>B-3091.MBLK</t>
  </si>
  <si>
    <t>Recessed-Mounted Toilet Tissue, Seat-Cover Dispenser and Waste Disposal, Left Side, Matte Black</t>
  </si>
  <si>
    <t>B-30919.MBLK</t>
  </si>
  <si>
    <t>Surface-Mounted Toilet Tissue, Seat-Cover Dispenser and Waste Disposal,  Left Side, Matte Black</t>
  </si>
  <si>
    <t>B-3092.MBLK</t>
  </si>
  <si>
    <t>Recessed-Mounted Toilet Tissue, Seat-Cover Dispenser and Waste Disposal, Right Side, Matte Black</t>
  </si>
  <si>
    <t>B-30929.MBLK</t>
  </si>
  <si>
    <t xml:space="preserve">Surface-Mounted Toilet Tissue, Seat-Cover Dispenser and Waste Disposal, Right Side, Matte Black </t>
  </si>
  <si>
    <t>B-3479.MBLK</t>
  </si>
  <si>
    <t>Surface-Mounted Seat Cover Dispenser and Dual-Roll Toilet Tissue Disp., Matte Black</t>
  </si>
  <si>
    <t>B-3513.MBLK</t>
  </si>
  <si>
    <t>Recessed Sanitary Napkin Disposal, 0.6-Gal. – TrimLineSeries, Matte Black</t>
  </si>
  <si>
    <t>B-35139.MBLK</t>
  </si>
  <si>
    <t>Surface-Mtd. Sanitary Napkin Disposal, 0.6-Gal. – TrimLineSeries, Matte Black</t>
  </si>
  <si>
    <t>B-35303.MBLK</t>
  </si>
  <si>
    <t>Recessed Sanitary Napkin Disposal, 1.2-Gal., Matte Black</t>
  </si>
  <si>
    <t>B-35633.MBLK</t>
  </si>
  <si>
    <t>Recessed Waste Receptacle w/Disposal Door, 3-Gal., Matte Black</t>
  </si>
  <si>
    <t>B-35639.MBLK</t>
  </si>
  <si>
    <t>Surface-Mtd. Waste Receptacle w/Disposal Door, 3-Gal., Matte Black</t>
  </si>
  <si>
    <t>B-35643.MBLK</t>
  </si>
  <si>
    <t>Recessed Waste Receptacle, 12-Gal., Matte Black</t>
  </si>
  <si>
    <t>B-35649.MBLK</t>
  </si>
  <si>
    <t xml:space="preserve">Surface-Mtd. Waste Receptacle, 12-Gal., Matte Black </t>
  </si>
  <si>
    <t>B-357.MBLK</t>
  </si>
  <si>
    <t>Partition-Mounted Seat Cover Dispenser Napkin Disposal, 0.8-Gal. Dual-Roll Toilet Tissue Dispenser, Matte Black</t>
  </si>
  <si>
    <t>B-3571.MBLK</t>
  </si>
  <si>
    <t xml:space="preserve">Partiton-Mounted Seat Cover Dispenser Disposal, 0.8-Gal. Toilet Tissue Dispenser – Accessible Design, Matte Black </t>
  </si>
  <si>
    <t>B-35715.MBLK</t>
  </si>
  <si>
    <t>B-3579.MBLK</t>
  </si>
  <si>
    <t>Surface-Mounted Seat Cover Dispenser Disposal, 0.8-Gal. Toilet Tissue Dispenser, Matte Black</t>
  </si>
  <si>
    <t>B-3588.MBLK</t>
  </si>
  <si>
    <t>Surface-Mtd. Multi-Roll Toilet Tissue Dispenser – TrimLineSeries, Matte Black</t>
  </si>
  <si>
    <t>B-35883.MBLK</t>
  </si>
  <si>
    <t>Recessed Multi-Roll Toilet Tissue Dispenser – TrimLineSeries, Matte Black</t>
  </si>
  <si>
    <t>B-35903.MBLK</t>
  </si>
  <si>
    <t xml:space="preserve">Paper Towel Dispenser, Matte Black </t>
  </si>
  <si>
    <t>B-359033.MBLK</t>
  </si>
  <si>
    <t>Recessed Paper Towel Dispenser, Matte Black</t>
  </si>
  <si>
    <t>B-359039.MBLK</t>
  </si>
  <si>
    <t>Surface-Mtd. Paper Towel Dispenser – TrimLineSeries, Matte Black</t>
  </si>
  <si>
    <t>B-366-60</t>
  </si>
  <si>
    <t>Kit for 4" Deep Waste Receptacle</t>
  </si>
  <si>
    <t>B-367-60</t>
  </si>
  <si>
    <t>Interchangeable 12 Gallon Waste Receptacle Module</t>
  </si>
  <si>
    <t>B-368-60</t>
  </si>
  <si>
    <t>Interchangeable 18 Gallon Waste Receptacle Module</t>
  </si>
  <si>
    <t>B-36903.MBLK</t>
  </si>
  <si>
    <t>Paper Towel Dispenser and Waste Receptacle, Matte Black</t>
  </si>
  <si>
    <t>B-369-130</t>
  </si>
  <si>
    <t>TowelMate for B-359, B-359033, B-359039, B-369, B-3699, B-36903, B-4262, B-4369, B-43699, B-43944, B-43949</t>
  </si>
  <si>
    <t>B-3706 25</t>
  </si>
  <si>
    <t>Recessed or Semi-Recessed Push-Button Napkin/Tampon Vendor, Single-Coin 25¢ Operation</t>
  </si>
  <si>
    <t>B-3706-176</t>
  </si>
  <si>
    <t>Flange for adapting larger B-3500, B-43500 Series Vendor wall opening for B-3706, B-37063, B-4706 Series Vendor wall opening</t>
  </si>
  <si>
    <t>B-37063 25</t>
  </si>
  <si>
    <t>Recessed Napkin / Tampon Vendor, 25-Cent Operation</t>
  </si>
  <si>
    <t>B-37063.MBLK 25</t>
  </si>
  <si>
    <t>Recessed Napkin / Tampon Vendor, 25-Cent Operation, Matte Black</t>
  </si>
  <si>
    <t>B-37063.MBLK C</t>
  </si>
  <si>
    <t>Recessed Napkin / Tampon Vendor, Free Vend Operation, Matte Black</t>
  </si>
  <si>
    <t>B-370634 25</t>
  </si>
  <si>
    <t>B-370634.MBLK 25</t>
  </si>
  <si>
    <t>B-370634.MBLK C</t>
  </si>
  <si>
    <t>Semi-Recessed Push-Button Napkin/Tampon Vendor, Free no-coin Operation, Matte Black</t>
  </si>
  <si>
    <t>B-370634C</t>
  </si>
  <si>
    <t>Semi-Recessed Push-Button Napkin/Tampon Vendor, Free no-coin Operation</t>
  </si>
  <si>
    <t>B-37063C</t>
  </si>
  <si>
    <t>Recessed Napkin / Tampon Vendor, Free Vend Operation</t>
  </si>
  <si>
    <t>B-3706C</t>
  </si>
  <si>
    <t>Recessed or Semi-Recessed Push-Button Napkin/Tampon Vendor, Free no-coin Operation</t>
  </si>
  <si>
    <t>B-3706T</t>
  </si>
  <si>
    <t>B-3725 115V</t>
  </si>
  <si>
    <t>ADA Hand Dryer, Recessed, Stainless Steel – 115V</t>
  </si>
  <si>
    <t>B-3725 230V</t>
  </si>
  <si>
    <t>ADA Hand Dryer, Recessed, Stainless Steel – 230V</t>
  </si>
  <si>
    <t>B-3725.MBLK 115V</t>
  </si>
  <si>
    <t>ADA Hand Dryer, Recessed, Stainless Steel – 115V, Matte Black</t>
  </si>
  <si>
    <t>B-3725.MBLK 230V</t>
  </si>
  <si>
    <t>ADA Hand Dryer, Recessed, Stainless Steel – 230V, Matte Black</t>
  </si>
  <si>
    <t>B-3725-23</t>
  </si>
  <si>
    <t>B-3803.MBLK</t>
  </si>
  <si>
    <t>Recessed Paper Towel Dispenser and Waste Receptacle, Matte Black</t>
  </si>
  <si>
    <t>B-38030 115V</t>
  </si>
  <si>
    <t xml:space="preserve">Recessed Paper Towel Dispenser/Automatic Hand Dryer/Waste Bin (3-in-1 Unit) </t>
  </si>
  <si>
    <t>B-38030 230V</t>
  </si>
  <si>
    <t>B-380309 115V</t>
  </si>
  <si>
    <t>B-380309 230V</t>
  </si>
  <si>
    <t>B-38031 115V</t>
  </si>
  <si>
    <t xml:space="preserve">Recessed Paper Towel Dispenser/Automatic Hand Dryer/Waste Bin </t>
  </si>
  <si>
    <t>B-38031 230V</t>
  </si>
  <si>
    <t>B-3803-130</t>
  </si>
  <si>
    <t>TowelMate for B-3900, B-3904, B-3907, B-3909, B-3803, B-38032, B-38034, B-380349</t>
  </si>
  <si>
    <t>B-38032.MBLK</t>
  </si>
  <si>
    <t>Semi-Recessed Paper Towel Dispenser and Waste Receptacle, Matte Black</t>
  </si>
  <si>
    <t>B-38034.MBLK</t>
  </si>
  <si>
    <t>Towel And Waste-4" (102Mm) Matte Black</t>
  </si>
  <si>
    <t>B-380349.MBLK</t>
  </si>
  <si>
    <t>Surface-Mtd. Paper Towel Disp., Waste Receptacle, Matte Black</t>
  </si>
  <si>
    <t>B-39003.MBLK</t>
  </si>
  <si>
    <t>B-39003-130</t>
  </si>
  <si>
    <t>TowelMate for B-39003, B-390034, B-396034</t>
  </si>
  <si>
    <t>B-3944-130</t>
  </si>
  <si>
    <t>Towelmate</t>
  </si>
  <si>
    <t>B-3944-134</t>
  </si>
  <si>
    <t>LinerMate® for ClassicSeries -12-Gal. only B-277, B-3644, B-3942, B-3944, B-3949, B-3961, B-39619, B-3974, B-3979</t>
  </si>
  <si>
    <t>B-3944-143</t>
  </si>
  <si>
    <t>LinerMate</t>
  </si>
  <si>
    <t>B-3944-152</t>
  </si>
  <si>
    <t>Folded Towel Dispenser Module Series D</t>
  </si>
  <si>
    <t>B-3944-52</t>
  </si>
  <si>
    <t>Interchangeable Folded Paper Towel Dispenser Module</t>
  </si>
  <si>
    <t>B-3961-50</t>
  </si>
  <si>
    <t>Interchangeable Touch-Free Universal Roll Towel Dispenser Module</t>
  </si>
  <si>
    <t>B-3974-250</t>
  </si>
  <si>
    <t>Interchangeable Automatic Universal Roll Towel Dispenser Module</t>
  </si>
  <si>
    <t>B-3974-350</t>
  </si>
  <si>
    <t>Auto Roll PT Disp Module Series D</t>
  </si>
  <si>
    <t>B-3974-57</t>
  </si>
  <si>
    <t>Converts the unit from batteries to AC Power</t>
  </si>
  <si>
    <t>B-4112-79</t>
  </si>
  <si>
    <t>All Purpose Soap Valve</t>
  </si>
  <si>
    <t>B-4207x60</t>
  </si>
  <si>
    <t>Curved Shower Rod, 60" Length</t>
  </si>
  <si>
    <t>B-4207x72</t>
  </si>
  <si>
    <t>Curved Shower Rod, 72" Length</t>
  </si>
  <si>
    <t>B-43644-134</t>
  </si>
  <si>
    <t>LinerMate for ConturaSeries® B-43644</t>
  </si>
  <si>
    <t>B-4369-134</t>
  </si>
  <si>
    <t>LinerMate for ConturaSeries B-4369, B-43699</t>
  </si>
  <si>
    <t>B-43944-134</t>
  </si>
  <si>
    <t>LinerMate for ConturaSeries B-43944, B-43949</t>
  </si>
  <si>
    <t>B-4706 25</t>
  </si>
  <si>
    <t>Recessed Push-Button Napkin/Tampon Vendor, Single-Coin 25¢ Operation</t>
  </si>
  <si>
    <t>B-47064 25</t>
  </si>
  <si>
    <t>B-47064C</t>
  </si>
  <si>
    <t>B-47069 25</t>
  </si>
  <si>
    <t>B-47069C</t>
  </si>
  <si>
    <t>B-4706C</t>
  </si>
  <si>
    <t>Recessed Push-Button Napkin/Tampon Vendor, Free no-coin Operation</t>
  </si>
  <si>
    <t>B-518116x28</t>
  </si>
  <si>
    <t>Folding Bathtub Seat</t>
  </si>
  <si>
    <t>B-518116x32</t>
  </si>
  <si>
    <t>B-540.MBLK</t>
  </si>
  <si>
    <t>Surface-Mounted Toilet Tissue Dispenser &amp; Utility Shelf, Matte Black</t>
  </si>
  <si>
    <t>B-5456x18</t>
  </si>
  <si>
    <t>Surface-Mounted Towel Bar, 18" Length, Bright Polished</t>
  </si>
  <si>
    <t>B-5456x24</t>
  </si>
  <si>
    <t>Surface-Mounted Towel Bar, 24" Length, Bright Polished</t>
  </si>
  <si>
    <t>B-545x18</t>
  </si>
  <si>
    <t>Surface-Mounted Towel Bar, 18" Length, Satin Finish</t>
  </si>
  <si>
    <t>B-545x24</t>
  </si>
  <si>
    <t>Surface-Mounted Towel Bar, 24" Length, Satin Finish</t>
  </si>
  <si>
    <t>B-5806.99x12</t>
  </si>
  <si>
    <t>Straight Grab Bar – 12" Length</t>
  </si>
  <si>
    <t>B-5806.99x18</t>
  </si>
  <si>
    <t>Straight Grab Bar – 18" Length, Peened Grip</t>
  </si>
  <si>
    <t>B-5806.99x24</t>
  </si>
  <si>
    <t>Straight Grab Bar – 24" Length, Peened Grip</t>
  </si>
  <si>
    <t>B-5806.99x30</t>
  </si>
  <si>
    <t>Straight Grab Bar – 30" Length, Peened Grip</t>
  </si>
  <si>
    <t>B-5806.99x36</t>
  </si>
  <si>
    <t>Straight Grab Bar – 36" Length, Peened Grip</t>
  </si>
  <si>
    <t>B-5806.99x42</t>
  </si>
  <si>
    <t>Straight Grab Bar – 42" Length, Peened Grip</t>
  </si>
  <si>
    <t>B-5806.99x48</t>
  </si>
  <si>
    <t>Straight Grab Bar – 48" Length, Peened Grip</t>
  </si>
  <si>
    <t>B-580616x18</t>
  </si>
  <si>
    <t>Vinyl-Coated Straight Grab Bar - 18" Length</t>
  </si>
  <si>
    <t>B-580616x24</t>
  </si>
  <si>
    <t>Vinyl-Coated Straight Grab Bar - 24" Length</t>
  </si>
  <si>
    <t>B-580616x36</t>
  </si>
  <si>
    <t>Vinyl-Coated Straight Grab Bar - 36" Length</t>
  </si>
  <si>
    <t>B-580616x42</t>
  </si>
  <si>
    <t>Vinyl-Coated Straight Grab Bar - 42" Length</t>
  </si>
  <si>
    <t>B-5806x12</t>
  </si>
  <si>
    <t>B-5806x18</t>
  </si>
  <si>
    <t>Straight Grab Bar – 18" Length</t>
  </si>
  <si>
    <t>B-5806x24</t>
  </si>
  <si>
    <t>Straight Grab Bar – 24" Length</t>
  </si>
  <si>
    <t>B-5806x30</t>
  </si>
  <si>
    <t>Straight Grab Bar – 30" Length</t>
  </si>
  <si>
    <t>B-5806x36</t>
  </si>
  <si>
    <t>Straight Grab Bar – 36" Length</t>
  </si>
  <si>
    <t>B-5806x42</t>
  </si>
  <si>
    <t>Straight Grab Bar – 42" Length</t>
  </si>
  <si>
    <t>B-5806x48</t>
  </si>
  <si>
    <t>Straight Grab Bar – 48" Length</t>
  </si>
  <si>
    <t>B-6047x36</t>
  </si>
  <si>
    <t>1-1/4" Dia., Shower Curtain Rod, 36" Length, Square End Flanges</t>
  </si>
  <si>
    <t>B-6047x48</t>
  </si>
  <si>
    <t>1-1/4" Dia., Shower Curtain Rod, 48" Length, Square End Flanges</t>
  </si>
  <si>
    <t>B-6047x60</t>
  </si>
  <si>
    <t>1-1/4" Dia., Shower Curtain Rod, 60" Length, Square End Flanges</t>
  </si>
  <si>
    <t>B-6047x72</t>
  </si>
  <si>
    <t>1-1/4" Dia., Shower Curtain Rod, 72" Length, Square End Flanges</t>
  </si>
  <si>
    <t>B-6107x36</t>
  </si>
  <si>
    <t>1" Dia., Shower Curtain Rod, 36" Length, Square End Flanges</t>
  </si>
  <si>
    <t>B-6107x48</t>
  </si>
  <si>
    <t>1" Dia., Shower Curtain Rod, 48" Length, Square End Flanges</t>
  </si>
  <si>
    <t>B-6107x60</t>
  </si>
  <si>
    <t>1" Dia., Shower Curtain Rod, 60" Length, Square End Flanges</t>
  </si>
  <si>
    <t>B-6107x72</t>
  </si>
  <si>
    <t>1" Dia., Shower Curtain Rod, 72" Length, Square End Flanges</t>
  </si>
  <si>
    <t>B-635.MBLK</t>
  </si>
  <si>
    <t>Klutch Mobile Device Holder, Matte Black</t>
  </si>
  <si>
    <t>B-6737x24</t>
  </si>
  <si>
    <t>Towel Bar, Square – 24" Length</t>
  </si>
  <si>
    <t>B-673x18</t>
  </si>
  <si>
    <t>Towel Bar, Square – 18" Length</t>
  </si>
  <si>
    <t>B-673x24</t>
  </si>
  <si>
    <t>B-6747x24</t>
  </si>
  <si>
    <t>Towel Bar, Round – 24" Length</t>
  </si>
  <si>
    <t>B-674x18</t>
  </si>
  <si>
    <t>Towel Bar, Round – 18" Length</t>
  </si>
  <si>
    <t>B-674x24</t>
  </si>
  <si>
    <t>B-676x24</t>
  </si>
  <si>
    <t>Towel Shelf with Bar – 24" Length, Surface-Mounted</t>
  </si>
  <si>
    <t>B-6806.99x12</t>
  </si>
  <si>
    <t>Straight Grab Bar – 12" Length, Peened Grip</t>
  </si>
  <si>
    <t>B-6806.99x18</t>
  </si>
  <si>
    <t>B-6806.99x24</t>
  </si>
  <si>
    <t>B-6806.99x30</t>
  </si>
  <si>
    <t>B-6806.99x36</t>
  </si>
  <si>
    <t>B-6806.99x42</t>
  </si>
  <si>
    <t>B-6806.99x48</t>
  </si>
  <si>
    <t>B-6806x12</t>
  </si>
  <si>
    <t>B-6806x18</t>
  </si>
  <si>
    <t>B-6806x24</t>
  </si>
  <si>
    <t>B-6806x30</t>
  </si>
  <si>
    <t>B-6806x36</t>
  </si>
  <si>
    <t>B-6806x42</t>
  </si>
  <si>
    <t>B-6806x48</t>
  </si>
  <si>
    <t>B-683x24</t>
  </si>
  <si>
    <t>Toiletry Shelf  – 24" Length, Surface-Mounted</t>
  </si>
  <si>
    <t>B-710 115V</t>
  </si>
  <si>
    <t>Automatic Hand Dryer, Surface-Mounted – 115V</t>
  </si>
  <si>
    <t>B-7120 115V</t>
  </si>
  <si>
    <t>QuietDry Series, ADA Dryer, Surface-Mounted, White Cover – 115V</t>
  </si>
  <si>
    <t>B-7120 230V</t>
  </si>
  <si>
    <t>QuietDry Series, ADA Dryer, Surface-Mounted, White Cover – 230V</t>
  </si>
  <si>
    <t>B-7128 115V</t>
  </si>
  <si>
    <t>QuietDry Series, ADA Dryer, Surf.-Mtd., Stainless Steel Cover– 115V</t>
  </si>
  <si>
    <t>B-7128 230V</t>
  </si>
  <si>
    <t>QuietDry Series, ADA Dryer, Surf.-Mtd., Stainless Steel Cover– 230V</t>
  </si>
  <si>
    <t>B-715 115V</t>
  </si>
  <si>
    <t>Elan Surf Mtd Auto Hand Dryer</t>
  </si>
  <si>
    <t>B-7179.MBLK</t>
  </si>
  <si>
    <t xml:space="preserve">Surface-Mounted Automatic Hand Dryer, Matte Black </t>
  </si>
  <si>
    <t>B-7180 115V</t>
  </si>
  <si>
    <t>QuietDry Series, ADA Dryer, Surf.-Mtd., White Cover – 115V</t>
  </si>
  <si>
    <t>B-7180 230V</t>
  </si>
  <si>
    <t>QuietDry Series, ADA Dryer, Surf.-Mtd., White Cover – 230V</t>
  </si>
  <si>
    <t>B-7188 115V</t>
  </si>
  <si>
    <t>QuietDry Series, ADA Dryer, Surf.-Mtd., White Chrome – 115V</t>
  </si>
  <si>
    <t>B-7188 230V</t>
  </si>
  <si>
    <t>QuietDry Series, ADA Dryer, Surf.-Mtd., White Chrome – 230V</t>
  </si>
  <si>
    <t>B-750 115V</t>
  </si>
  <si>
    <t>AirCraft Automatic Hand Dryer, Recessed – 115V</t>
  </si>
  <si>
    <t>B-750 230V</t>
  </si>
  <si>
    <t>AirCraft Automatic Hand Dryer, Recessed – 208-240V</t>
  </si>
  <si>
    <t>B-750-506</t>
  </si>
  <si>
    <t>AirCraft Recessed Dryer Mounting Box</t>
  </si>
  <si>
    <t>B-820-248</t>
  </si>
  <si>
    <t>Foam Soap Dispenser</t>
  </si>
  <si>
    <t>B-820-258</t>
  </si>
  <si>
    <t>Liquid Soap Dispenser</t>
  </si>
  <si>
    <t>B-822-402</t>
  </si>
  <si>
    <t>Universal Basin Mtg Grip-All Purpose</t>
  </si>
  <si>
    <t>B-824-201</t>
  </si>
  <si>
    <t>External AC Multi Adapter Kit</t>
  </si>
  <si>
    <t>B-824-241</t>
  </si>
  <si>
    <t xml:space="preserve">Battery Pack </t>
  </si>
  <si>
    <t>B-826-20</t>
  </si>
  <si>
    <t>AC Adapter 6V for one B-826 or B-8263 Dispenser</t>
  </si>
  <si>
    <t>B-830-162</t>
  </si>
  <si>
    <t>25 Foot Tubing Packet</t>
  </si>
  <si>
    <t>B-830-164</t>
  </si>
  <si>
    <t>Tubing Connector Packet</t>
  </si>
  <si>
    <t>B-830-341</t>
  </si>
  <si>
    <t>Soap Dispenser Connector Kit (One kit required for each sink Includes swivel connector assembly, connector tubing, and clamps.) When countertop exceeds 1-1/4" thickness, also order 822-402 Adapter.</t>
  </si>
  <si>
    <t>B-830-359</t>
  </si>
  <si>
    <t>Liquid, Soap Pump (B-822), 4" Spout Length, Bright Polished Stainless Steel with 3" Shank</t>
  </si>
  <si>
    <t>B-830-372</t>
  </si>
  <si>
    <t>Liquid, Soap Pump (B-8226), 6" Spout Length, Bright Polished Stainless Steel with 3" Shank</t>
  </si>
  <si>
    <t>B-833-359</t>
  </si>
  <si>
    <t>Foam, Soap Pump (B-823), 4" Spout Length, Bright Polished Stainless Steel with 3" Shank</t>
  </si>
  <si>
    <t>B-833-372</t>
  </si>
  <si>
    <t>Foam, Soap Pump (B-8226), 6" Spout Length, Bright Polished Stainless Steel with 3" Shank</t>
  </si>
  <si>
    <t>B-918116L</t>
  </si>
  <si>
    <t>Folding Shower Bariatric Seat, Right</t>
  </si>
  <si>
    <t>B-918116R</t>
  </si>
  <si>
    <t>Folding Shower Bariatric Seat, Left</t>
  </si>
  <si>
    <t>B-9262.MBLK</t>
  </si>
  <si>
    <t xml:space="preserve">Surface-Mounted Paper Towel Dispenser, Matte Black </t>
  </si>
  <si>
    <t>B-9279.MBLK</t>
  </si>
  <si>
    <t xml:space="preserve">Surface-Mounted Waste Receptacle, Matte Black </t>
  </si>
  <si>
    <t>B-9279-20</t>
  </si>
  <si>
    <t>Bracket for waste receptacle</t>
  </si>
  <si>
    <t>B-9541</t>
  </si>
  <si>
    <t>Surface-Mounted Coat Hook with Bumper</t>
  </si>
  <si>
    <t>B-9541.MBLK</t>
  </si>
  <si>
    <t>Surface-Mounted Coat Hook with Bumper, Matte Black</t>
  </si>
  <si>
    <t>B-9542.MBLK</t>
  </si>
  <si>
    <t>Surface-Mounted Coat Hook, Matte Black</t>
  </si>
  <si>
    <t>B-9543.MBLK</t>
  </si>
  <si>
    <t>Surface-Mounted Single Toilet Roll Holder, Matte Black</t>
  </si>
  <si>
    <t>B-9547.MBLK</t>
  </si>
  <si>
    <t>Surface-Mounted Double Toilet Roll Holder, Matte Black</t>
  </si>
  <si>
    <t>B-9806-20</t>
  </si>
  <si>
    <t>Dry Wall Kit</t>
  </si>
  <si>
    <t>B-9806x18</t>
  </si>
  <si>
    <t>Straight Grab Bar - 18" Length</t>
  </si>
  <si>
    <t>B-9806X18.MBLK</t>
  </si>
  <si>
    <t>Straight Grab Bar - 18" Matte Black Finish</t>
  </si>
  <si>
    <t>B-9806x24</t>
  </si>
  <si>
    <t>Straight Grab Bar - 24" Length</t>
  </si>
  <si>
    <t>B-9806X24.MBLK</t>
  </si>
  <si>
    <t>Straight Grab Bar - 24" Matte Black Finish</t>
  </si>
  <si>
    <t>B-9806X30</t>
  </si>
  <si>
    <t>Straight Grab Bar - 30" Length</t>
  </si>
  <si>
    <t>B-9806x30.MBLK</t>
  </si>
  <si>
    <t>Straight Grab Bar - 30" Matte Black Finish</t>
  </si>
  <si>
    <t>B-9806x36</t>
  </si>
  <si>
    <t>Straight Grab Bar - 36" Length</t>
  </si>
  <si>
    <t>B-9806x36.MBLK</t>
  </si>
  <si>
    <t>Straight Grab Bar - 36" Matte Black Finish</t>
  </si>
  <si>
    <t>B-9806x42</t>
  </si>
  <si>
    <t>Straight Grab Bar - 42" Length</t>
  </si>
  <si>
    <t>B-9806x42.MBLK</t>
  </si>
  <si>
    <t>Straight Grab Bar - 42" Matte Black Finish</t>
  </si>
  <si>
    <t>B-9806x48</t>
  </si>
  <si>
    <t>Straight Grab Bar - 48" Length</t>
  </si>
  <si>
    <t>B-9806x48.MBLK</t>
  </si>
  <si>
    <t>Straight Grab Bar - 48" Matte Black Finish</t>
  </si>
  <si>
    <t>B-7671.MBLK</t>
  </si>
  <si>
    <t>NEW: Single Robe Hook, Matte Black</t>
  </si>
  <si>
    <t>B-167 2436.MBLK</t>
  </si>
  <si>
    <t xml:space="preserve">NEW: LED Matte Black Mirror 24" x 36" </t>
  </si>
  <si>
    <t>Recessed Napkin / Tampon Vendor, 25 Cent Vend Operation, Matte Black</t>
  </si>
  <si>
    <t>Semi-Recessed Push-Button Napkin/Tampon Vendor, 25 Cent Vend Operation, Matte Black</t>
  </si>
  <si>
    <t>ADA Recessed Hand Dryer, Matte Black</t>
  </si>
  <si>
    <t>B-9890.MBLK</t>
  </si>
  <si>
    <t>Jumbo-Toilet Roll Holder, Matte Black</t>
  </si>
  <si>
    <t>150CX18.MBLK</t>
  </si>
  <si>
    <t>150CX24.MBLK</t>
  </si>
  <si>
    <t>150CX36.MBLK</t>
  </si>
  <si>
    <t>150CX42.MBLK</t>
  </si>
  <si>
    <t>150CX48.MBLK</t>
  </si>
  <si>
    <t>KB102-00</t>
  </si>
  <si>
    <t>Child Protection Seat (Cream)</t>
  </si>
  <si>
    <t>KB102-01</t>
  </si>
  <si>
    <t>Child Protection Seat (Grey)</t>
  </si>
  <si>
    <t>KB105-01</t>
  </si>
  <si>
    <t>Designer High Chair (Grey)</t>
  </si>
  <si>
    <t>KB105-01-KD</t>
  </si>
  <si>
    <t>Designer High Chair (Grey) Unassembled</t>
  </si>
  <si>
    <t>KB105-02</t>
  </si>
  <si>
    <t>Designer High Chair (Black)</t>
  </si>
  <si>
    <t>KB105-02-KD</t>
  </si>
  <si>
    <t>Designer High Chair (Black) Unassembled</t>
  </si>
  <si>
    <t>KB105-03</t>
  </si>
  <si>
    <t>Designer High Chair (Red)</t>
  </si>
  <si>
    <t>KB105-03-KD</t>
  </si>
  <si>
    <t>Designer High Chair (Red) Unassembled</t>
  </si>
  <si>
    <t>KB105-09</t>
  </si>
  <si>
    <t>Designer High Chair (Brown)</t>
  </si>
  <si>
    <t>KB105-09-KD</t>
  </si>
  <si>
    <t>Designer High Chair (Brown) Unassembled</t>
  </si>
  <si>
    <t>KB112-01CT</t>
  </si>
  <si>
    <t>Countertop Surface Mounted Changing Station (Grey Granite)</t>
  </si>
  <si>
    <t>KB112-01RE</t>
  </si>
  <si>
    <t>Countertop Recessed Changing Station (Grey Granite)</t>
  </si>
  <si>
    <t>KB113-99</t>
  </si>
  <si>
    <t>Diaper Kits (120/case)</t>
  </si>
  <si>
    <t>KB115-02</t>
  </si>
  <si>
    <t>Infant Seat Kradle (Black)</t>
  </si>
  <si>
    <t>KB115-09</t>
  </si>
  <si>
    <t>Infant Seat Kradle (Brown)</t>
  </si>
  <si>
    <t>KB115-99</t>
  </si>
  <si>
    <t>Infant Seat Kradle (Blue)</t>
  </si>
  <si>
    <t>KB143-SS</t>
  </si>
  <si>
    <t>SS Diaper Dispenser</t>
  </si>
  <si>
    <t>KB144-99</t>
  </si>
  <si>
    <t>Trim for Diaper Dispenser</t>
  </si>
  <si>
    <t>KB150-99</t>
  </si>
  <si>
    <t>Sanitary Liners (500/case)</t>
  </si>
  <si>
    <t>KB160-X1</t>
  </si>
  <si>
    <t>KB160-X6</t>
  </si>
  <si>
    <t xml:space="preserve">The Diaper Pouch Diaper Disposal Sacks (6 pack) </t>
  </si>
  <si>
    <t>KB208-01</t>
  </si>
  <si>
    <t>Baby Bear Oval Plastic Changing Station (Grey)</t>
  </si>
  <si>
    <t>KB208-14</t>
  </si>
  <si>
    <t>Baby Bear Oval Plastic Changing Station (Sandstone)</t>
  </si>
  <si>
    <t>KB300-00</t>
  </si>
  <si>
    <t>Horizontal Plastic Changing Station (Beige)</t>
  </si>
  <si>
    <t>KB300-01</t>
  </si>
  <si>
    <t>Horizontal Plastic Changing Station (Grey)</t>
  </si>
  <si>
    <t>KB300-01SS</t>
  </si>
  <si>
    <t>Horizontal Plastic Changing Station with SS Front (Grey)</t>
  </si>
  <si>
    <t>KB300-05</t>
  </si>
  <si>
    <t xml:space="preserve">Horizontal Plastic Changing Station (White Granite) </t>
  </si>
  <si>
    <t>KB300-05SS</t>
  </si>
  <si>
    <t>Horizontal Plastic Changing Station with SS Front (White Granite)</t>
  </si>
  <si>
    <t>KB3000-AHL</t>
  </si>
  <si>
    <t>Adjustable Height Changing Station</t>
  </si>
  <si>
    <t>KB301-00</t>
  </si>
  <si>
    <t>Vertical Plastic Changing Station (Beige)</t>
  </si>
  <si>
    <t>KB301-01</t>
  </si>
  <si>
    <t>Vertical Plastic Changing Station (Grey)</t>
  </si>
  <si>
    <t>KB301-01SS</t>
  </si>
  <si>
    <t>Vertical Plastic Changing Station SS Front (Grey)</t>
  </si>
  <si>
    <t>KB301-05</t>
  </si>
  <si>
    <t>Vertical Plastic Changing Station (White Granite)</t>
  </si>
  <si>
    <t>KB301-05SS</t>
  </si>
  <si>
    <t>Vertical Plastic Changing Station with SS Front (White Granite)</t>
  </si>
  <si>
    <t>KB310-SSRE</t>
  </si>
  <si>
    <t>Horizontal, Recessed Mounted Baby Changing Station - Stainless</t>
  </si>
  <si>
    <t>KB310-SSRE-MBLK</t>
  </si>
  <si>
    <t>Horizontal, Recessed Mounted Baby Changing Station - Matte Black</t>
  </si>
  <si>
    <t>KB310-SSWM</t>
  </si>
  <si>
    <t>Horizontal, Surface Mounted Baby Changing Station - Stainless</t>
  </si>
  <si>
    <t>KB310-SSWM-MBLK</t>
  </si>
  <si>
    <t>Horizontal, Surfce-Mounted Baby Changing Station - Matte Black</t>
  </si>
  <si>
    <t>KB311-SSRE</t>
  </si>
  <si>
    <t>Vertical, Recessed Mounted Baby Changing Station - Stainless</t>
  </si>
  <si>
    <t>KB311-SSRE-MBLK</t>
  </si>
  <si>
    <t>Vertical, Recessed Mounted Baby Changing Station, Matte Black</t>
  </si>
  <si>
    <t>KB311-SSWM</t>
  </si>
  <si>
    <t>Vertical, Surface Mounted Baby Changing Station - Stainless</t>
  </si>
  <si>
    <t>KB311-SSWM-MBLK</t>
  </si>
  <si>
    <t>Vertical, Surface Mounted Baby Changing Station - Matte Black</t>
  </si>
  <si>
    <t>Model Description</t>
  </si>
  <si>
    <t xml:space="preserve">Swinerton Net </t>
  </si>
  <si>
    <t>Labor in Minute</t>
  </si>
  <si>
    <t>Labor Multiplier</t>
  </si>
  <si>
    <t>B-155</t>
  </si>
  <si>
    <t>Liquidmate® Wall-Mounted Soap Dispenser</t>
  </si>
  <si>
    <t>15</t>
  </si>
  <si>
    <t>B-156</t>
  </si>
  <si>
    <t>Liquidmate® Surface-Mounted Soap Dispenser</t>
  </si>
  <si>
    <t>Frameless Mirror 18x24</t>
  </si>
  <si>
    <t>Frameless Mirror 18x30</t>
  </si>
  <si>
    <t>Frameless Mirror 24x36</t>
  </si>
  <si>
    <t>Reversible LED Backlit Mirror 24x36</t>
  </si>
  <si>
    <t>Reversible LED Backlit Mirror 24x42</t>
  </si>
  <si>
    <t>Channel-Frame Mirror 18x24</t>
  </si>
  <si>
    <t>Channel-Frame Mirror 18x30</t>
  </si>
  <si>
    <t>Channel-Frame Mirror 18x36</t>
  </si>
  <si>
    <t>Channel-Frame Mirror 24x30</t>
  </si>
  <si>
    <t>Channel-Frame Mirror 24x36</t>
  </si>
  <si>
    <t>Channel-Frame Mirror 24x48</t>
  </si>
  <si>
    <t>Channel-Frame Mirror 24x60</t>
  </si>
  <si>
    <t>Channel-Frame Mirror 48x36</t>
  </si>
  <si>
    <t>Tempered Glass Channel Frame Mirror 18x30</t>
  </si>
  <si>
    <t>Tempered Glass Channel Frame Mirror 24x36</t>
  </si>
  <si>
    <t>Channel-Framed Mirror/Shelf Combination 18x24</t>
  </si>
  <si>
    <t>Channel-Framed Mirror/Shelf Combination 18x30</t>
  </si>
  <si>
    <t>Channel-Framed Mirror/Shelf Combination 18x36</t>
  </si>
  <si>
    <t>Channel-Framed Mirror/Shelf Combination 24x36</t>
  </si>
  <si>
    <t>LED Backlit Mirror - EdgeLit 24x36</t>
  </si>
  <si>
    <t>LED Backlit Mirror - EdgeLit 24x48</t>
  </si>
  <si>
    <t>LED Backlit Mirror - EdgeLit 66x42</t>
  </si>
  <si>
    <t>LED Backlit Mirror - SideLit 24x36</t>
  </si>
  <si>
    <t>LED Backlit Mirror - SideLit 30x40</t>
  </si>
  <si>
    <t>B-2000</t>
  </si>
  <si>
    <t>Dispenser Stand For Use with B-2012 &amp; B-2013 Soap Dispensers</t>
  </si>
  <si>
    <t>Automatic Wall-Mounted Soap Dispenser</t>
  </si>
  <si>
    <t>Automatic Wall-Mounted Foam Soap Dispenser</t>
  </si>
  <si>
    <t>Shower Curtain Hook</t>
  </si>
  <si>
    <t>Shower Curtain 42x72</t>
  </si>
  <si>
    <t>Shower Curtain 70x72</t>
  </si>
  <si>
    <t>Shower Curtain Rod With Concealed Mounting</t>
  </si>
  <si>
    <t>Heavy-Duty Clothes Hook With Exposed Mounting</t>
  </si>
  <si>
    <t>Soap Dispenser, Vertical</t>
  </si>
  <si>
    <t>Sureflo® Retrofit Valve</t>
  </si>
  <si>
    <t>Soap Dispenser, Horizontal</t>
  </si>
  <si>
    <t>Heavy-Duty Clothes Hook With Concealed Mounting</t>
  </si>
  <si>
    <t>Clothes Hook With Bumper</t>
  </si>
  <si>
    <t>B-220816</t>
  </si>
  <si>
    <t>Foot-Operated Waste Receptacle, 8-Gallon</t>
  </si>
  <si>
    <t>Surface-Mounted Seat-Cover Dispenser</t>
  </si>
  <si>
    <t>Foot-Operated Waste Receptacle, 12-Gallon</t>
  </si>
  <si>
    <t>Mop And Broom Holder</t>
  </si>
  <si>
    <t>Shelf With Mop And Broom Holders And Rag Hooks</t>
  </si>
  <si>
    <t>Waste Receptacle With Top</t>
  </si>
  <si>
    <t>Waste Receptacle With Open Top, 13-Gallon</t>
  </si>
  <si>
    <t>Waste Receptacle With Open Top, 21-Gallon</t>
  </si>
  <si>
    <t>Floor-Standing Dome Top Waste Receptacle</t>
  </si>
  <si>
    <t>Hook Strip</t>
  </si>
  <si>
    <t>Shelf With Mop And Broom Holders And Hooks</t>
  </si>
  <si>
    <t>Large Capacity Waste Receptacle</t>
  </si>
  <si>
    <t>Wingit Grab Bar Fastener</t>
  </si>
  <si>
    <t>Optional Mounting Kit</t>
  </si>
  <si>
    <t>Surface-Mounted Roll Towel Dispenser</t>
  </si>
  <si>
    <t>Sanitary Napkin Disposal</t>
  </si>
  <si>
    <t>Optional Anchor Device</t>
  </si>
  <si>
    <t>Paper Towel Dispenser, Knob Latch</t>
  </si>
  <si>
    <t>Paper Towel Dispenser, Tumbler Lock</t>
  </si>
  <si>
    <t>Vandal-Resistant Toilet Tissue Dispenser for Single Roll</t>
  </si>
  <si>
    <t>Vandal-Resistant Toilet Tissue Dispenser for Two Rolls</t>
  </si>
  <si>
    <t>Surface-Mounted Liquid Soap Dispenser</t>
  </si>
  <si>
    <t>Surface-Mounted  Foam Soap Dispenser</t>
  </si>
  <si>
    <t>Surface-Mounted Foam Soap Dispenser</t>
  </si>
  <si>
    <t>B-268</t>
  </si>
  <si>
    <t xml:space="preserve">Corner Waste Receptacle </t>
  </si>
  <si>
    <t>Napkin/Tampon Vendor, 25-cent</t>
  </si>
  <si>
    <t>Napkin/Tampon Vendor, Free Vend Operation</t>
  </si>
  <si>
    <t>Napkin/Tampon Vendor, Token Operation</t>
  </si>
  <si>
    <t>B-2716</t>
  </si>
  <si>
    <t>Vinyl-Coated Toilet Paper Holder</t>
  </si>
  <si>
    <t>Surface-Mounted Toilet Tissue Cabinet</t>
  </si>
  <si>
    <t>B-2721</t>
  </si>
  <si>
    <t>Toilet Tissue Dispenser For Single Roll</t>
  </si>
  <si>
    <t>Toilet Tissue Dispenser For Two Rolls</t>
  </si>
  <si>
    <t xml:space="preserve">Waste Receptacle 
 </t>
  </si>
  <si>
    <t>Waste Receptacle With Linermate</t>
  </si>
  <si>
    <t>Waste Receptacle</t>
  </si>
  <si>
    <t>Toilet Tissue Dispenser With Utility Shelf</t>
  </si>
  <si>
    <t>Surface-Mounted Roll Paper Towel Dispenser</t>
  </si>
  <si>
    <t>Multi-Roll Toilet Tissue Dispenser</t>
  </si>
  <si>
    <t>Single Jumbo-Roll Surface-Mounted Toilet Tissue Dispenser</t>
  </si>
  <si>
    <t>Twin Jumbo-Roll Toilet Tissue Dispenser</t>
  </si>
  <si>
    <t>Welded-Frame Mirror 18x30</t>
  </si>
  <si>
    <t>Welded-Frame Mirror 18x36</t>
  </si>
  <si>
    <t>Welded-Frame Mirror 24x30</t>
  </si>
  <si>
    <t>Welded-Frame Mirror 24x36</t>
  </si>
  <si>
    <t>Welded-Frame Mirror 24x48</t>
  </si>
  <si>
    <t>Welded-Frame Mirror 24x60</t>
  </si>
  <si>
    <t>Welded-Frame Mirror 24x72</t>
  </si>
  <si>
    <t>Tempered Glass Welded-Frame Mirror 18x30</t>
  </si>
  <si>
    <t>Tempered Glass Welded-Frame Mirror 18x36</t>
  </si>
  <si>
    <t>Tempered Glass Welded-Frame Mirror 24x36</t>
  </si>
  <si>
    <t>Welded-Frame Mirror/Shelf Combination</t>
  </si>
  <si>
    <t>Fixed-Position Tilt Mirror 18x30</t>
  </si>
  <si>
    <t>Fixed-Position Tilt Mirror 18x36</t>
  </si>
  <si>
    <t>Fixed-Position Tilt Mirror 24x36</t>
  </si>
  <si>
    <t>Angle-Frame Two Position Tilt Mirror</t>
  </si>
  <si>
    <t>Stainless Steel Shelf</t>
  </si>
  <si>
    <t>Surface-Mounted Medicine Cabinet</t>
  </si>
  <si>
    <t>Paper Towel Dispenser, Automatic, Surface-Mounted</t>
  </si>
  <si>
    <t>Paper Towel Dispenser, Automatic, Semi-Recessed</t>
  </si>
  <si>
    <t>Medicine Cabinet</t>
  </si>
  <si>
    <t>Recessed Seat-Cover Dispenser</t>
  </si>
  <si>
    <t>Trimline Seat-Cover Dispenser</t>
  </si>
  <si>
    <t>Trimline Soap Dispenser</t>
  </si>
  <si>
    <t>Recessed Toilet Tissue, Seat-Cover Dispenser and Waste Disposal, Left</t>
  </si>
  <si>
    <t>Recessed Toilet Tissue, Seat-Cover Dispenser and Waste Disposal, Right</t>
  </si>
  <si>
    <t>Surface-Mtd Toilet Tissue, Seat-Cover Dispenser and Waste Disposal, Left</t>
  </si>
  <si>
    <t>Surface-Mtd Toilet Tissue, Seat-Cover Dispenser and Waste Disposal, Right</t>
  </si>
  <si>
    <t>Sanitary Napkin Disposal And Toilet Tissue Dispenser</t>
  </si>
  <si>
    <t>Seat-Cover Dispenser And Toilet Tissue Dispenser</t>
  </si>
  <si>
    <t>Partition Mounted 3471 Reversed</t>
  </si>
  <si>
    <t>Partition Mtd 3474 Reversed</t>
  </si>
  <si>
    <t>Sharp Disposal</t>
  </si>
  <si>
    <t>Trimline Sanitary Napkin Disposal</t>
  </si>
  <si>
    <t>Trimline Napkin Disposal Surf Mtd</t>
  </si>
  <si>
    <t>Sanitary Napkin Disposal, Recessed</t>
  </si>
  <si>
    <t>Sanitary Napkin Disposal, Partition Mounted</t>
  </si>
  <si>
    <t>Sanitary Disposal Bag Dispenser</t>
  </si>
  <si>
    <t>Trimline Recessed Waste Receptacle</t>
  </si>
  <si>
    <t>Trimline Waste Receptacle Surface Mounted</t>
  </si>
  <si>
    <t>Seat-Cover Dispenser, Sanitary Napkin Disposal And Toilet Tissue Dispenser</t>
  </si>
  <si>
    <t>Partition-Mounted Seat-Cover Dispenser, Sanitary Napkin Disposal, and Toilet Tissue Dispenser</t>
  </si>
  <si>
    <t>Partition Mounted 3574 Reversed</t>
  </si>
  <si>
    <t>Trimline Multi-Roll Toilet Tissue Dispenser</t>
  </si>
  <si>
    <t>Trimline Recessed Toilet Tissue Dispenser</t>
  </si>
  <si>
    <t>Paper Towel Dispenser, Recessed</t>
  </si>
  <si>
    <t>Trimline Paper Towel Dispenser</t>
  </si>
  <si>
    <t>Trimline Recessed Paper Towel Dispenser</t>
  </si>
  <si>
    <t>Trimline Towel Dispenser, Surface-Mounted</t>
  </si>
  <si>
    <t>Recessed Waste Receptacle</t>
  </si>
  <si>
    <t>Interchangeable Receptacle, 12-gal</t>
  </si>
  <si>
    <t>Interchangeable Receptacle, 18-gal</t>
  </si>
  <si>
    <t>Paper Towel Dispenser/Waste Receptacle</t>
  </si>
  <si>
    <t>Trimline Paper Towel Dispenser/Waste Receptacle</t>
  </si>
  <si>
    <t>Napkin / Tampon Vendor, 25-cent</t>
  </si>
  <si>
    <t>Flange Kit</t>
  </si>
  <si>
    <t>Napkin / Tampon Vendor, Free Vend Operation</t>
  </si>
  <si>
    <t>Napkin / Tampon Vendor, Token Operation</t>
  </si>
  <si>
    <t>B-3725 115v</t>
  </si>
  <si>
    <t>ADA Recessed Hand Dryer 115v</t>
  </si>
  <si>
    <t>B-3725 230v</t>
  </si>
  <si>
    <t>ADA Recessed Hand Dryer 230v</t>
  </si>
  <si>
    <t>Ceramic Water Absorbent Surface Replacement Part</t>
  </si>
  <si>
    <t>Towel Dispenser, Hand Dryer &amp; Waste, Recessed 4-inch, 115V</t>
  </si>
  <si>
    <t>Towel Dispenser, Hand Dryer &amp; Waste, Recessed 4-inch, 230V</t>
  </si>
  <si>
    <t>Towel Dispenser, Hand Dryer &amp; Waste, Recessed 8-inch, 115V</t>
  </si>
  <si>
    <t>Towel Dispenser, Hand Dryer &amp; Waste, Recessed 8-inch, 230V</t>
  </si>
  <si>
    <t>Towel Dispenser, Hand Dryer &amp; Waste, Surface Mounted, 115V</t>
  </si>
  <si>
    <t>Towel Dispenser, Hand Dryer &amp; Waste, Surface Mounted, 230V</t>
  </si>
  <si>
    <t xml:space="preserve">Towelmate </t>
  </si>
  <si>
    <t>Convertible Paper Towel Dispenser/Waste Receptacle</t>
  </si>
  <si>
    <t>Linermate</t>
  </si>
  <si>
    <t>Folded Towel Dispenser Module</t>
  </si>
  <si>
    <t>Surface-Mounted Convertible Paper Towel Dispenser/Waste</t>
  </si>
  <si>
    <t>Touch-Free, Pull Towel Dispenser Module</t>
  </si>
  <si>
    <t>Recessed Convertible Automatic, Universal Roll Towel Dispenser</t>
  </si>
  <si>
    <t>Auto Roll Module</t>
  </si>
  <si>
    <t>Ac External Adapter (6V)</t>
  </si>
  <si>
    <t>Convertible Automatic, Universal Roll Towel Dispenser/Waste Receptacle</t>
  </si>
  <si>
    <t>Soap Dispenser</t>
  </si>
  <si>
    <t>Recessed Soap Dispenser</t>
  </si>
  <si>
    <t>Retrofit All-Purpose Valve</t>
  </si>
  <si>
    <t>Curved Shower Curtain Rod 60"</t>
  </si>
  <si>
    <t>Curved Shower Curtain Rod 72"</t>
  </si>
  <si>
    <t>Seat-Cover Dispenser</t>
  </si>
  <si>
    <t>Linermate®</t>
  </si>
  <si>
    <t>Paper Towel Dispenser/Waste Receptacle with TowelMate and LinerMate</t>
  </si>
  <si>
    <t>Heavy-Duty Soap Dish</t>
  </si>
  <si>
    <t>B-4390</t>
  </si>
  <si>
    <t>Heavy-Duty Soap Dish And Bar</t>
  </si>
  <si>
    <t>Paper Towel Dispenser / Waste Receptacle</t>
  </si>
  <si>
    <t xml:space="preserve">Napkin / Tampon Vendor, Free Vend Operation </t>
  </si>
  <si>
    <t>1-1/4" Diameter Vinyl-Coated Swing-Up Grab Bar</t>
  </si>
  <si>
    <t xml:space="preserve">1-1/4" Diameter Swing Up Grab Bar </t>
  </si>
  <si>
    <t xml:space="preserve">1-1/4" Diameter Swing Up Grab Bar, Peened </t>
  </si>
  <si>
    <t>Specimen Pass-Thru Cabinet</t>
  </si>
  <si>
    <t>Heavy Duty Specimen Pass-Through Cabinet</t>
  </si>
  <si>
    <t>Nylon-Coated Single Clothes Hook</t>
  </si>
  <si>
    <t>Folding Shower Seat, Right Hand</t>
  </si>
  <si>
    <t>Folding Shower Seat, Left Hand</t>
  </si>
  <si>
    <t>Reversible Folding Shower Seat</t>
  </si>
  <si>
    <t>Vinyl-Coated Folding Bathtub Seat</t>
  </si>
  <si>
    <t>Folding Shower / Dressing Area Seat, 22.5'' wide</t>
  </si>
  <si>
    <t>Folding Shower / Dressing Area Seat, 25.5" wide</t>
  </si>
  <si>
    <t xml:space="preserve">Paper Towel Dispenser, Countertop-Mounted </t>
  </si>
  <si>
    <t>Waste-Disposal Door For Mounting In Countertops</t>
  </si>
  <si>
    <t>Matrix Sanitary Disposal</t>
  </si>
  <si>
    <t>Countertop -Mounted Circular Waste Chute</t>
  </si>
  <si>
    <t>Extra-Heavy-Duty Surface-Mounted Towel Bar</t>
  </si>
  <si>
    <t>Waste Chute Circular</t>
  </si>
  <si>
    <t>Surface-Mounted Toilet Tissue Dispenser &amp; Utility Shelf</t>
  </si>
  <si>
    <t>Spare Toilet Roll Holder, Satin</t>
  </si>
  <si>
    <t xml:space="preserve">Spare Toilet Roll Holder, Bright Polished </t>
  </si>
  <si>
    <t>Coat Hook, Satin</t>
  </si>
  <si>
    <t xml:space="preserve">Coat Hook, Bright Polished </t>
  </si>
  <si>
    <t>Surface-Mounted Single Roll Toilet Tissue Dispenser, Satin</t>
  </si>
  <si>
    <t>Single Roll Toilet Tissue Dispenser</t>
  </si>
  <si>
    <t>Toilet Brush Holder, Satin</t>
  </si>
  <si>
    <t>B-545X18</t>
  </si>
  <si>
    <t>Towel Bar</t>
  </si>
  <si>
    <t>Surface-Mounted Single Roll Toilet Tissue Dispenser</t>
  </si>
  <si>
    <t>Double Toilet Tissue Dispenser</t>
  </si>
  <si>
    <t>Double Toilet Tissue Dispenser with Hood</t>
  </si>
  <si>
    <t>1-1/4" Diameter Straight Grab Bar</t>
  </si>
  <si>
    <t>B-5806X30</t>
  </si>
  <si>
    <t xml:space="preserve">1-1/4" Diameter Straight Grab Bar, Peened </t>
  </si>
  <si>
    <t>B-5806.99X30</t>
  </si>
  <si>
    <t>B-5806.99X48</t>
  </si>
  <si>
    <t>1-1/4" Diameter Vinyl-Coated Grab Bar With Snap Flange</t>
  </si>
  <si>
    <t>1-1/4" Diameter Two-Wall Tub/Shower Toilet Grab Bar</t>
  </si>
  <si>
    <t>B-5837.99</t>
  </si>
  <si>
    <t>1-1/4" Diameter Two-Wall Tub/Shower Toilet Grab Bar, Peened</t>
  </si>
  <si>
    <t>B-5891</t>
  </si>
  <si>
    <t>1-1/4" Diameter Grab Bar with Backrest</t>
  </si>
  <si>
    <t>1-1/4" Diameter Grab Bar with Padded Backrest</t>
  </si>
  <si>
    <t>1-1/4" Diameter Two-Wall Toilet Grab Bar</t>
  </si>
  <si>
    <t>1-1/4" Diameter Two-Wall Toilet Grab Bar, Peened</t>
  </si>
  <si>
    <t>1-1/4" Diameter 90 Degree Grab Bar</t>
  </si>
  <si>
    <t>Extra-Heavy-Duty Shower Curtain Rod</t>
  </si>
  <si>
    <t>Heavy-Duty Shower Curtain Rod</t>
  </si>
  <si>
    <t>Recessed Toilet Tissue Dispenser With Storage For Extra Roll</t>
  </si>
  <si>
    <t>Toilet Tissue Dispenser, Bright-Polished</t>
  </si>
  <si>
    <t>Toilet Tissue Dispenser, Satin</t>
  </si>
  <si>
    <t>Toilet Tissue Dispenser with Hood, Satin</t>
  </si>
  <si>
    <t>Toilet Tissue Dispenser with Hood, Bright-Polished</t>
  </si>
  <si>
    <t>Toilet Tissue Dispenser With Hood, Satin</t>
  </si>
  <si>
    <t>Utility Hook, Bright-Polished</t>
  </si>
  <si>
    <t>Utility Hook, Satin</t>
  </si>
  <si>
    <t>Single Robe Hook, Bright-Polished</t>
  </si>
  <si>
    <t>Single Robe Hook, Satin</t>
  </si>
  <si>
    <t>Double Robe Hook, Bright-Polished</t>
  </si>
  <si>
    <t>Double Robe Hook, Satin</t>
  </si>
  <si>
    <t>Towel Bar, Bright-Polished</t>
  </si>
  <si>
    <t>Towel Bar, Satin</t>
  </si>
  <si>
    <t>Towel Shelf With Towel Bar</t>
  </si>
  <si>
    <t>Towel Pin, Bright-Polished</t>
  </si>
  <si>
    <t>Towel Pin, Satin</t>
  </si>
  <si>
    <t>Soap Dish, Bright-Polished</t>
  </si>
  <si>
    <t>1-1/2" Diameter Straight Grab Bar</t>
  </si>
  <si>
    <t>B-6806.99X12</t>
  </si>
  <si>
    <t>1-1/2" Diameter Straight Grab Bar, Peened</t>
  </si>
  <si>
    <t>B-6806.99X30</t>
  </si>
  <si>
    <t>B-6806.99X48</t>
  </si>
  <si>
    <t>1-1/2" Diameter Two-Wall Tub/Shower Toilet Grab Bar</t>
  </si>
  <si>
    <t>1-1/2" Diameter Two-Wall Tub/Shower Toilet Grab Bar, Peened</t>
  </si>
  <si>
    <t>1-1/2" Diameter Two-Wall Shower Grab Bar</t>
  </si>
  <si>
    <t>1-1/2" Diameter Two-Wall Shower Grab Bar, Peened</t>
  </si>
  <si>
    <t>1-1/2" Diameter Two-Wall Shower/Tub Compartment Grab Bar</t>
  </si>
  <si>
    <t>1-1/2" Diameter Two-Wall Shower/Tub Compartment Grab Bar, Peened</t>
  </si>
  <si>
    <t>1-1/2" Diameter Two-Wall Toilet Compartment Grab Bar</t>
  </si>
  <si>
    <t>1-1/2" Diameter Two-Wall Toilet Compartment Grab Bar, Peened</t>
  </si>
  <si>
    <t>1-1/2" Diameter 90 Degree Grab Bar, Peened</t>
  </si>
  <si>
    <t>Soap Dish, Satin</t>
  </si>
  <si>
    <t>Hat And Coat Hook, Bright-Polished</t>
  </si>
  <si>
    <t>Hat And Coat Hook, Satin</t>
  </si>
  <si>
    <t>Toiletry Shelf</t>
  </si>
  <si>
    <t>Surface-Mounted Door Bumper</t>
  </si>
  <si>
    <t>Toilet Tissue Dispenser with Hoods, Bright-Polished</t>
  </si>
  <si>
    <t>Toilet Tissue Dispenser with Hoods, Satin</t>
  </si>
  <si>
    <t>Dryer</t>
  </si>
  <si>
    <t>TrimDry™ ADA Surface-Mounted Hand Dryer, White Cover 115v</t>
  </si>
  <si>
    <t>TrimDry™ ADA Surface-Mounted Hand Dryer, White Cover 230V</t>
  </si>
  <si>
    <t>InstaDry™ Surface Mounted Automatic Hand Dryer</t>
  </si>
  <si>
    <t>TrimDry™ ADA Surface-Mounted Hand Dryer, Stainless Steel Cover 115V</t>
  </si>
  <si>
    <t>TrimDry™ ADA Surface-Mounted Hand Dryer, Stainless Steel Cover 230V</t>
  </si>
  <si>
    <t>B-7180 115v</t>
  </si>
  <si>
    <t>TerraDry™ ADA Surface-Mounted Hand Dryer, White Cover 115V</t>
  </si>
  <si>
    <t>B-7180 230v</t>
  </si>
  <si>
    <t>TerraDry™ ADA Surface-Mounted Hand Dryer, White Cover 230V</t>
  </si>
  <si>
    <t>B-7188 115v</t>
  </si>
  <si>
    <t>TerraDry™ Ada Surface-Mounted Hand Dryer</t>
  </si>
  <si>
    <t>B-7188 230v</t>
  </si>
  <si>
    <t>AirCraft® ADA Recessed Hand Dryer</t>
  </si>
  <si>
    <t>Dryer Wall Box</t>
  </si>
  <si>
    <t xml:space="preserve">Single Robe Hook, Bright-Polished </t>
  </si>
  <si>
    <t>Changing Station/Shelf</t>
  </si>
  <si>
    <t>Pink Lotion Soap For System, Liquid</t>
  </si>
  <si>
    <t>Gold Lotion Soap For System, Liquid</t>
  </si>
  <si>
    <t>B-81412</t>
  </si>
  <si>
    <t>Ecologo Green Soap Cartridge, Liquid</t>
  </si>
  <si>
    <t>B-813061</t>
  </si>
  <si>
    <t>Heavy-Duty Surface-Mounted Soap Dispenser</t>
  </si>
  <si>
    <t>Manual Soap Dispenser</t>
  </si>
  <si>
    <t>Manual Soap Dispenser, Liquid</t>
  </si>
  <si>
    <t>Soap System Part</t>
  </si>
  <si>
    <t>Manual Soap Dispenser, Foam</t>
  </si>
  <si>
    <t>Automatic, Top Fill Bulk Soap Dispenser, Liquid</t>
  </si>
  <si>
    <t>External Ac Multiple Adapter Kit</t>
  </si>
  <si>
    <t>Battery Pack</t>
  </si>
  <si>
    <t>Ecologo Foam Soap</t>
  </si>
  <si>
    <t>Automatic Soap Dispenser, Liquid</t>
  </si>
  <si>
    <t>Automatic Soap Dispenser Starter Kit, Liquid</t>
  </si>
  <si>
    <t>Ac Adapter (6V)</t>
  </si>
  <si>
    <t>Automatic Soap Dispenser, Foam</t>
  </si>
  <si>
    <t>Automatic Soap Dispenser Starter Kit, Foam</t>
  </si>
  <si>
    <t>Automatic, Top Fill Bulk Soap Dispenser, Foam</t>
  </si>
  <si>
    <t>Soap System Cabinet</t>
  </si>
  <si>
    <t>Liquid Soap Pump 4'' Spout</t>
  </si>
  <si>
    <t>Liquid Soap Pump 6'' Spout</t>
  </si>
  <si>
    <t>Foam Soap Pump 4'' Spout</t>
  </si>
  <si>
    <t>Soap Pump 6'' Spout</t>
  </si>
  <si>
    <t>Autosoap Foam Polished Brass</t>
  </si>
  <si>
    <t>Autosoap Foam Matte Black</t>
  </si>
  <si>
    <t>Autosoap Foam Brushed Nickel</t>
  </si>
  <si>
    <t>Autosoap Foam Polished Nickel</t>
  </si>
  <si>
    <t>Autosoap Foam Polished Chrome</t>
  </si>
  <si>
    <t>Autosoap Liquid Polished Brass</t>
  </si>
  <si>
    <t>Autosoap Liquid Matte Black</t>
  </si>
  <si>
    <t>Autosoap Liquid Brushed Nickel</t>
  </si>
  <si>
    <t>Autosoap Liquid Polished Nickel</t>
  </si>
  <si>
    <t>Autosoap Liquid Polished Chrome</t>
  </si>
  <si>
    <t>Automatic Faucet Polished Brass</t>
  </si>
  <si>
    <t>Automatic Faucet Matte Black</t>
  </si>
  <si>
    <t>Automatic Faucet Brushed Nickel</t>
  </si>
  <si>
    <t>Automatic Faucet Polished Nickel</t>
  </si>
  <si>
    <t>Automatic Faucet Polished Chrome</t>
  </si>
  <si>
    <t>Surface-Mounted Tissue Dispenser</t>
  </si>
  <si>
    <t>Bariatric Folding Shower Seat With Legs - Left Hand</t>
  </si>
  <si>
    <t>Bariatric Folding Shower Seat With Legs - Right Hand</t>
  </si>
  <si>
    <t>Frameless Mirror</t>
  </si>
  <si>
    <t>Vandal-Resistant Clothes Hook</t>
  </si>
  <si>
    <t>Vandal-Resistant Clothes Hook Strip</t>
  </si>
  <si>
    <t>Designer High Chair (Grey) Knockdown</t>
  </si>
  <si>
    <t>Designer High Chair (Black) Knockdown</t>
  </si>
  <si>
    <t>Designer High Chair (Red) Knockdown</t>
  </si>
  <si>
    <t>Designer High Chair (Brown) Knockdown</t>
  </si>
  <si>
    <t>KB110-SSRE</t>
  </si>
  <si>
    <t>SS Horizontal Recessed-Mounted Changing Station</t>
  </si>
  <si>
    <t>KB110-SSWM</t>
  </si>
  <si>
    <t>SS Horizontal Surface-Mounted Changing Station</t>
  </si>
  <si>
    <t>KB116-02S</t>
  </si>
  <si>
    <t>Booster Buddies 5-pack (Black) with Strap</t>
  </si>
  <si>
    <t>KB116-03S</t>
  </si>
  <si>
    <t>Booster Buddies 5-pack (Red) with Strap</t>
  </si>
  <si>
    <t>KB116-04S</t>
  </si>
  <si>
    <t>Booster Buddies 5-pack (Blue) with Strap</t>
  </si>
  <si>
    <t>KB117-02S</t>
  </si>
  <si>
    <t>Booster Buddies 2-pack (Black) with Strap</t>
  </si>
  <si>
    <t>KB117-03S</t>
  </si>
  <si>
    <t>Booster Buddies 2-pack (Red) with Strap</t>
  </si>
  <si>
    <t>KB117-04S</t>
  </si>
  <si>
    <t>Booster Buddies 2-pack (Blue) with Strap</t>
  </si>
  <si>
    <t>KB119-LG</t>
  </si>
  <si>
    <t>Booster Buddies Large Stand (holds 25)</t>
  </si>
  <si>
    <t>KB119-SM</t>
  </si>
  <si>
    <t>Booster Buddies Small Stand (holds 10)</t>
  </si>
  <si>
    <t>KB134-PLLD</t>
  </si>
  <si>
    <t>Liner Dispenser (Plastic)</t>
  </si>
  <si>
    <t>KB134-SSLD</t>
  </si>
  <si>
    <t>Recessed Liner Dispenser (SS)</t>
  </si>
  <si>
    <t>KB200-00</t>
  </si>
  <si>
    <t>Horizontal Plastic Changing Station (Cream)</t>
  </si>
  <si>
    <t>KB200-01</t>
  </si>
  <si>
    <t>KB200-01SS</t>
  </si>
  <si>
    <t>KB200-05</t>
  </si>
  <si>
    <t>KB200-05SS</t>
  </si>
  <si>
    <t>KB200-11</t>
  </si>
  <si>
    <t xml:space="preserve">Horizontal Plastic Changing Station (Earth) </t>
  </si>
  <si>
    <t>Horizontal Plastic Changing Station (White Granite)</t>
  </si>
  <si>
    <t xml:space="preserve">Matte Black Horizontal Recessed-Mounted Changing Station </t>
  </si>
  <si>
    <t xml:space="preserve">Matte Black Horizontal Surface-Mounted Changing Station </t>
  </si>
  <si>
    <t>SS Vertical Recessed-Mounted Changing Station</t>
  </si>
  <si>
    <t>SS Vertical Surface-Mounted Changing Station</t>
  </si>
  <si>
    <t xml:space="preserve">Matte Black Vertical Surface-Mounted Changing Station </t>
  </si>
  <si>
    <t>KB327-02</t>
  </si>
  <si>
    <t>BoosterChair 2-pack (Black)</t>
  </si>
  <si>
    <t>KB327-09</t>
  </si>
  <si>
    <t>BoosterChair 2-pack (Brown)</t>
  </si>
  <si>
    <t>KB424-02</t>
  </si>
  <si>
    <t>36 Cinema Seats with Rolling Cart (Black)</t>
  </si>
  <si>
    <t>KB424-03</t>
  </si>
  <si>
    <t>36 Cinema Seats with Rolling Cart (Red)</t>
  </si>
  <si>
    <t>KB424-04</t>
  </si>
  <si>
    <t>36 Cinema Seats with Rolling Cart (Blue)</t>
  </si>
  <si>
    <t>KB424-06</t>
  </si>
  <si>
    <t>36 Cinema Seats with Rolling Cart (Green)</t>
  </si>
  <si>
    <t>KB424-07</t>
  </si>
  <si>
    <t>36 Cinema Seats with Rolling Cart (Yellow)</t>
  </si>
  <si>
    <t>KB424-19</t>
  </si>
  <si>
    <t>36 Cinema Seats with Rolling Cart (Multi)</t>
  </si>
  <si>
    <t>KB425-02</t>
  </si>
  <si>
    <t>Cinema Seat (Black)</t>
  </si>
  <si>
    <t>KB425-03</t>
  </si>
  <si>
    <t>Cinema Seat (Red)</t>
  </si>
  <si>
    <t>KB425-04</t>
  </si>
  <si>
    <t>Cinema Seat (Blue)</t>
  </si>
  <si>
    <t>KB425-06</t>
  </si>
  <si>
    <t>Cinema Seat (Green)</t>
  </si>
  <si>
    <t>KB425-07</t>
  </si>
  <si>
    <t>Cinema Seat (Yellow)</t>
  </si>
  <si>
    <t>KB615-02</t>
  </si>
  <si>
    <t xml:space="preserve">Koala Stowe™ </t>
  </si>
  <si>
    <t>KB833-01</t>
  </si>
  <si>
    <t>ECO Plastic HC (Grey)</t>
  </si>
  <si>
    <t>KB833-01-KD</t>
  </si>
  <si>
    <t>ECO Plastic HC (Grey) Unassembled</t>
  </si>
  <si>
    <t>KB833-02</t>
  </si>
  <si>
    <t>ECO Plastic HC (Black)</t>
  </si>
  <si>
    <t>KB833-02-KD</t>
  </si>
  <si>
    <t>ECO Plastic HC (Black) Unassembled</t>
  </si>
  <si>
    <t>KB833-09</t>
  </si>
  <si>
    <t>ECO Plastic HC (Brown)</t>
  </si>
  <si>
    <t>KB833-09-KD</t>
  </si>
  <si>
    <t>ECO Plastic HC (Brown) Unassembled</t>
  </si>
  <si>
    <t>KB851-01</t>
  </si>
  <si>
    <t>Diner High Chair Tray (Grey)</t>
  </si>
  <si>
    <t>KB851-02</t>
  </si>
  <si>
    <t>Diner High Chair Tray (Black)</t>
  </si>
  <si>
    <t>KB854-01S</t>
  </si>
  <si>
    <t>Restaurant Booster 1-pack (Grey) with Strap</t>
  </si>
  <si>
    <t>KB854-04S</t>
  </si>
  <si>
    <t>Restaurant Booster 1-pack (Blue) with Strap</t>
  </si>
  <si>
    <t>KB854-09S</t>
  </si>
  <si>
    <t>Restaurant Booster 1-pack (Brown) with Strap</t>
  </si>
  <si>
    <t>KB855-01S</t>
  </si>
  <si>
    <t>Restaurant Booster 4-pack (Grey) with Strap</t>
  </si>
  <si>
    <t>KB855-04S</t>
  </si>
  <si>
    <t>Restaurant Booster 4-pack (Blue) with Strap</t>
  </si>
  <si>
    <t>KB855-09S</t>
  </si>
  <si>
    <t>Restaurant Booster 4-pack (Brown) with Strap</t>
  </si>
  <si>
    <t>KB950-01</t>
  </si>
  <si>
    <t>Diner Plastic HC (Grey)</t>
  </si>
  <si>
    <t>KB950-01-KD</t>
  </si>
  <si>
    <t>Diner Plastic HC (Grey) Unassembled</t>
  </si>
  <si>
    <t>KB950-09</t>
  </si>
  <si>
    <t>Diner Plastic HC (Brown)</t>
  </si>
  <si>
    <t>KB950-09-KD</t>
  </si>
  <si>
    <t>Diner Plastic HC (Brown) Unassembled</t>
  </si>
  <si>
    <t>KB966-01</t>
  </si>
  <si>
    <t>KidSitter Brown Legs/Grey Seat</t>
  </si>
  <si>
    <t>KB966-02</t>
  </si>
  <si>
    <t>KidSitter Brown Legs/Black Seat</t>
  </si>
  <si>
    <t>KB966-04</t>
  </si>
  <si>
    <t>KidSitter Brown Legs/Blue Seat</t>
  </si>
  <si>
    <t>KB966-09</t>
  </si>
  <si>
    <t>KidSitter Brown Legs/Brown Seat</t>
  </si>
  <si>
    <t>KB977-01</t>
  </si>
  <si>
    <t>KidSitter Grey Legs/Grey Seat</t>
  </si>
  <si>
    <t>KB977-02</t>
  </si>
  <si>
    <t>KidSitter Grey Legs/Black Seat</t>
  </si>
  <si>
    <t>KB977-04</t>
  </si>
  <si>
    <t>KidSitter Grey Legs/Blue Seat</t>
  </si>
  <si>
    <t>KB977-09</t>
  </si>
  <si>
    <t>KidSitter Grey Legs/Brown Seat</t>
  </si>
  <si>
    <t xml:space="preserve">PROPOSAL TOTAL </t>
  </si>
  <si>
    <t>(SoCal Labor Rate)</t>
  </si>
  <si>
    <t>17-1/2" Wide x 23-1/2" High</t>
  </si>
  <si>
    <t>17-1/2" Wide x 29-1/2" High</t>
  </si>
  <si>
    <t>23-1/2" Wide x 35-1/2" High</t>
  </si>
  <si>
    <t>18" Wide x 30" High</t>
  </si>
  <si>
    <t>24" Wide x 36" High</t>
  </si>
  <si>
    <t>24" Wide x 42" High</t>
  </si>
  <si>
    <t>27" Wide x 39" High</t>
  </si>
  <si>
    <t>18" Wide x 24" High</t>
  </si>
  <si>
    <t>18" Wide x 36" High</t>
  </si>
  <si>
    <t>24" Wide x 30" High</t>
  </si>
  <si>
    <t>24" Wide x 48" High</t>
  </si>
  <si>
    <t>24" Wide x 60" High</t>
  </si>
  <si>
    <t>48" Wide x 36" High</t>
  </si>
  <si>
    <t>18" Wide x 24" High with 5" x 18" Shelf</t>
  </si>
  <si>
    <t>18" Wide x 30" High with 5" x 18" Shelf</t>
  </si>
  <si>
    <t>18" Wide x 36" High with 5" x 18" Shelf</t>
  </si>
  <si>
    <t>24" Wide x 36" High with 5" x 24" Shelf</t>
  </si>
  <si>
    <t>18" Wide x 44" High</t>
  </si>
  <si>
    <t>26" Wide x 32" High</t>
  </si>
  <si>
    <t>32" Wide x 26" High</t>
  </si>
  <si>
    <t>54" Wide x 42" High</t>
  </si>
  <si>
    <t>56" Wide x 26" High</t>
  </si>
  <si>
    <t>66" Wide x 42" High</t>
  </si>
  <si>
    <t>30" Wide x 40" High</t>
  </si>
  <si>
    <t>18" Wide x 30" High, Matte Black</t>
  </si>
  <si>
    <t>18" Wide x 36" High, Matte Black</t>
  </si>
  <si>
    <t>24" Wide x 30" High, Matte Black</t>
  </si>
  <si>
    <t>24" Wide x 36" High, Matte Black</t>
  </si>
  <si>
    <t>24" Wide x 48" High, Matte Black</t>
  </si>
  <si>
    <t>24" Wide x 60" High, Matte Black</t>
  </si>
  <si>
    <t>24" Wide x 72" High</t>
  </si>
  <si>
    <t>24" Wide x 72" High, Matte Black</t>
  </si>
  <si>
    <t>Semi-Recessed Push-Button Napkin/Tampon Vendor, Single-Coin 25¢
Operation</t>
  </si>
  <si>
    <t>Semi-Recessed Push-Button Napkin/Tampon Vendor, Single-Coin 25¢
Operation, Matte Black</t>
  </si>
  <si>
    <t>Recessed or Semi-Recessed Push-Button Napkin/Tampon Vendor, 
Token Operation</t>
  </si>
  <si>
    <t>Ceramic Water Absorbent Surface Replacement Part for B-3725 
Recessed Hand Dryer</t>
  </si>
  <si>
    <t xml:space="preserve">The Diaper Pouch Diaper Disposal Sacks Cartridge (1 pack) </t>
  </si>
  <si>
    <t xml:space="preserve">The Diaper Pouch Diaper Disposal Sacks Cartridge (6 pack) </t>
  </si>
  <si>
    <t>KB160-X30</t>
  </si>
  <si>
    <t xml:space="preserve">The Diaper Pouch Diaper Disposal Sacks Cartridge (30 pack) </t>
  </si>
  <si>
    <t>KB854-02S</t>
  </si>
  <si>
    <t>Restaurant Booster 1-pack (Black) with Strap</t>
  </si>
  <si>
    <t>KB855-02S</t>
  </si>
  <si>
    <t>Restaurant Booster 4-pack (Black) with Strap</t>
  </si>
  <si>
    <t>KidSitter (Grey with Brown legs)</t>
  </si>
  <si>
    <t>KidSitter (Black with Brown Legs)</t>
  </si>
  <si>
    <t>KidSitter (Blue with Brown Legs)</t>
  </si>
  <si>
    <t>KidSitter (Brown)</t>
  </si>
  <si>
    <t>KidSitter (Grey)</t>
  </si>
  <si>
    <t>KidSitter (Black with Grey Legs)</t>
  </si>
  <si>
    <t>KidSitter (Blue with Grey Legs)</t>
  </si>
  <si>
    <t>KidSitter (Brown with Grey Legs)</t>
  </si>
  <si>
    <t xml:space="preserve">Upload Notes: </t>
  </si>
  <si>
    <t xml:space="preserve">09.29.25 - Bobrick/Koala pricing updated on 9.29.25 from newly provided price list from PBS. 
Markup was reduced to 10% from 20% per KR. Initially had 20% markup in anticipation of getting NBS Bobrick Account.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</si>
</sst>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#,###"/>
    <numFmt numFmtId="165" formatCode="#,##0.###"/>
    <numFmt numFmtId="166" formatCode="mm/dd/yy;@"/>
    <numFmt numFmtId="167" formatCode="_(&quot;$&quot;* #,##0_);_(&quot;$&quot;* \(#,##0\);_(&quot;$&quot;* &quot;-&quot;??_);_(@_)"/>
    <numFmt numFmtId="168" formatCode="&quot;$&quot;#,##0.00"/>
    <numFmt numFmtId="169" formatCode="0.000"/>
    <numFmt numFmtId="170" formatCode="&quot;$&quot;#,##0.00;[Red]&quot;$&quot;#,##0.00"/>
    <numFmt numFmtId="171" formatCode="_([$$-409]* #,##0.00_);_([$$-409]* \(#,##0.00\);_([$$-409]* &quot;-&quot;??_);_(@_)"/>
  </numFmts>
  <fonts count="28">
    <font>
      <sz val="11"/>
      <color theme="1"/>
      <name val="Calibri"/>
      <family val="2"/>
      <scheme val="minor"/>
    </font>
    <font>
      <sz val="8"/>
      <name val="AvantGarde"/>
    </font>
    <font>
      <sz val="10"/>
      <name val="Arial"/>
      <family val="2"/>
    </font>
    <font>
      <sz val="10"/>
      <color theme="1"/>
      <name val="Arial"/>
      <family val="2"/>
    </font>
    <font>
      <sz val="7"/>
      <name val="AvantGarde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i/>
      <sz val="10"/>
      <color rgb="FF7030A0"/>
      <name val="Arial"/>
      <family val="2"/>
    </font>
    <font>
      <sz val="8"/>
      <name val="Calibri"/>
      <family val="2"/>
      <scheme val="minor"/>
    </font>
    <font>
      <b/>
      <i/>
      <sz val="10"/>
      <color theme="1"/>
      <name val="Arial"/>
      <family val="2"/>
    </font>
    <font>
      <b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gray125">
        <fgColor rgb="FFFF0000"/>
      </patternFill>
    </fill>
    <fill>
      <patternFill patternType="gray125">
        <fgColor theme="0" tint="-0.34998626667073579"/>
        <bgColor theme="0" tint="-0.2499465926084170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340">
    <xf numFmtId="0" fontId="0" fillId="0" borderId="0" xfId="0"/>
    <xf numFmtId="0" fontId="17" fillId="0" borderId="0" xfId="0" applyFont="1" applyAlignment="1">
      <alignment horizontal="center"/>
    </xf>
    <xf numFmtId="44" fontId="15" fillId="0" borderId="0" xfId="0" applyNumberFormat="1" applyFont="1" applyAlignment="1">
      <alignment horizontal="left"/>
    </xf>
    <xf numFmtId="166" fontId="7" fillId="0" borderId="12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top" wrapText="1"/>
    </xf>
    <xf numFmtId="3" fontId="5" fillId="0" borderId="3" xfId="0" applyNumberFormat="1" applyFont="1" applyBorder="1"/>
    <xf numFmtId="165" fontId="5" fillId="0" borderId="4" xfId="0" applyNumberFormat="1" applyFont="1" applyBorder="1"/>
    <xf numFmtId="165" fontId="5" fillId="0" borderId="2" xfId="0" applyNumberFormat="1" applyFont="1" applyBorder="1"/>
    <xf numFmtId="165" fontId="5" fillId="0" borderId="3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5" fillId="0" borderId="21" xfId="0" applyNumberFormat="1" applyFont="1" applyBorder="1" applyAlignment="1">
      <alignment horizontal="left" vertical="top" wrapText="1"/>
    </xf>
    <xf numFmtId="3" fontId="5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0" borderId="23" xfId="0" applyNumberFormat="1" applyFont="1" applyBorder="1" applyAlignment="1">
      <alignment horizontal="center"/>
    </xf>
    <xf numFmtId="4" fontId="5" fillId="0" borderId="22" xfId="0" applyNumberFormat="1" applyFont="1" applyBorder="1" applyAlignment="1">
      <alignment horizontal="center"/>
    </xf>
    <xf numFmtId="0" fontId="5" fillId="0" borderId="3" xfId="0" applyFont="1" applyBorder="1" applyAlignment="1">
      <alignment vertical="top" wrapText="1"/>
    </xf>
    <xf numFmtId="164" fontId="5" fillId="0" borderId="20" xfId="0" applyNumberFormat="1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164" fontId="5" fillId="0" borderId="4" xfId="0" applyNumberFormat="1" applyFont="1" applyBorder="1"/>
    <xf numFmtId="164" fontId="5" fillId="0" borderId="23" xfId="0" applyNumberFormat="1" applyFont="1" applyBorder="1" applyAlignment="1">
      <alignment horizontal="center" vertical="top" wrapText="1"/>
    </xf>
    <xf numFmtId="164" fontId="5" fillId="0" borderId="3" xfId="0" applyNumberFormat="1" applyFont="1" applyBorder="1"/>
    <xf numFmtId="164" fontId="5" fillId="0" borderId="8" xfId="0" applyNumberFormat="1" applyFont="1" applyBorder="1" applyAlignment="1">
      <alignment horizontal="center"/>
    </xf>
    <xf numFmtId="164" fontId="5" fillId="0" borderId="20" xfId="0" applyNumberFormat="1" applyFont="1" applyBorder="1" applyAlignment="1">
      <alignment horizontal="center" vertical="top" wrapText="1"/>
    </xf>
    <xf numFmtId="0" fontId="5" fillId="2" borderId="5" xfId="2" applyFont="1" applyFill="1" applyBorder="1" applyProtection="1"/>
    <xf numFmtId="0" fontId="5" fillId="2" borderId="4" xfId="0" applyFont="1" applyFill="1" applyBorder="1"/>
    <xf numFmtId="165" fontId="5" fillId="2" borderId="4" xfId="0" applyNumberFormat="1" applyFont="1" applyFill="1" applyBorder="1"/>
    <xf numFmtId="0" fontId="5" fillId="2" borderId="6" xfId="1" applyFont="1" applyFill="1" applyBorder="1" applyAlignment="1" applyProtection="1">
      <alignment horizontal="righ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9" xfId="1" applyFont="1" applyFill="1" applyBorder="1" applyAlignment="1" applyProtection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4" xfId="1" applyFont="1" applyFill="1" applyBorder="1" applyAlignment="1" applyProtection="1">
      <alignment horizontal="right"/>
    </xf>
    <xf numFmtId="0" fontId="3" fillId="0" borderId="0" xfId="0" applyFont="1" applyProtection="1">
      <protection locked="0"/>
    </xf>
    <xf numFmtId="44" fontId="5" fillId="2" borderId="9" xfId="3" applyFont="1" applyFill="1" applyBorder="1" applyProtection="1"/>
    <xf numFmtId="0" fontId="9" fillId="0" borderId="0" xfId="0" applyFont="1" applyAlignment="1">
      <alignment horizontal="right"/>
    </xf>
    <xf numFmtId="0" fontId="5" fillId="2" borderId="6" xfId="2" applyFont="1" applyFill="1" applyBorder="1" applyAlignment="1" applyProtection="1">
      <alignment horizontal="center"/>
    </xf>
    <xf numFmtId="0" fontId="5" fillId="2" borderId="24" xfId="2" applyFont="1" applyFill="1" applyBorder="1" applyAlignment="1" applyProtection="1">
      <alignment horizontal="center"/>
    </xf>
    <xf numFmtId="3" fontId="5" fillId="2" borderId="20" xfId="2" applyNumberFormat="1" applyFont="1" applyFill="1" applyBorder="1" applyAlignment="1" applyProtection="1">
      <alignment horizontal="center"/>
    </xf>
    <xf numFmtId="3" fontId="5" fillId="2" borderId="20" xfId="0" applyNumberFormat="1" applyFont="1" applyFill="1" applyBorder="1" applyAlignment="1">
      <alignment horizontal="center"/>
    </xf>
    <xf numFmtId="3" fontId="5" fillId="2" borderId="31" xfId="0" applyNumberFormat="1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3" fontId="5" fillId="2" borderId="32" xfId="0" applyNumberFormat="1" applyFont="1" applyFill="1" applyBorder="1" applyAlignment="1">
      <alignment horizontal="center"/>
    </xf>
    <xf numFmtId="3" fontId="5" fillId="2" borderId="33" xfId="0" applyNumberFormat="1" applyFont="1" applyFill="1" applyBorder="1" applyAlignment="1">
      <alignment horizontal="center"/>
    </xf>
    <xf numFmtId="0" fontId="10" fillId="0" borderId="0" xfId="0" applyFont="1"/>
    <xf numFmtId="0" fontId="3" fillId="0" borderId="0" xfId="0" applyFont="1"/>
    <xf numFmtId="166" fontId="3" fillId="0" borderId="0" xfId="0" applyNumberFormat="1" applyFont="1"/>
    <xf numFmtId="44" fontId="3" fillId="0" borderId="0" xfId="0" applyNumberFormat="1" applyFont="1"/>
    <xf numFmtId="0" fontId="8" fillId="0" borderId="0" xfId="0" applyFont="1"/>
    <xf numFmtId="0" fontId="11" fillId="0" borderId="0" xfId="0" applyFont="1" applyAlignment="1">
      <alignment horizontal="left"/>
    </xf>
    <xf numFmtId="167" fontId="8" fillId="2" borderId="18" xfId="3" applyNumberFormat="1" applyFont="1" applyFill="1" applyBorder="1" applyProtection="1"/>
    <xf numFmtId="167" fontId="8" fillId="2" borderId="11" xfId="3" applyNumberFormat="1" applyFont="1" applyFill="1" applyBorder="1" applyProtection="1"/>
    <xf numFmtId="167" fontId="8" fillId="2" borderId="10" xfId="3" applyNumberFormat="1" applyFont="1" applyFill="1" applyBorder="1" applyProtection="1"/>
    <xf numFmtId="167" fontId="5" fillId="2" borderId="27" xfId="0" applyNumberFormat="1" applyFont="1" applyFill="1" applyBorder="1"/>
    <xf numFmtId="167" fontId="5" fillId="2" borderId="28" xfId="0" applyNumberFormat="1" applyFont="1" applyFill="1" applyBorder="1"/>
    <xf numFmtId="167" fontId="5" fillId="2" borderId="29" xfId="0" applyNumberFormat="1" applyFont="1" applyFill="1" applyBorder="1"/>
    <xf numFmtId="167" fontId="5" fillId="2" borderId="30" xfId="0" applyNumberFormat="1" applyFont="1" applyFill="1" applyBorder="1"/>
    <xf numFmtId="44" fontId="5" fillId="0" borderId="0" xfId="3" applyFont="1" applyBorder="1" applyAlignment="1" applyProtection="1"/>
    <xf numFmtId="44" fontId="5" fillId="0" borderId="0" xfId="3" applyFont="1" applyBorder="1" applyProtection="1"/>
    <xf numFmtId="0" fontId="5" fillId="0" borderId="35" xfId="0" applyFont="1" applyBorder="1"/>
    <xf numFmtId="0" fontId="5" fillId="0" borderId="35" xfId="0" applyFont="1" applyBorder="1" applyAlignment="1">
      <alignment horizontal="left"/>
    </xf>
    <xf numFmtId="44" fontId="9" fillId="0" borderId="36" xfId="3" applyFont="1" applyBorder="1" applyProtection="1"/>
    <xf numFmtId="0" fontId="5" fillId="2" borderId="41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9" fillId="0" borderId="34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17" xfId="0" applyFont="1" applyBorder="1" applyAlignment="1">
      <alignment wrapText="1"/>
    </xf>
    <xf numFmtId="3" fontId="2" fillId="0" borderId="43" xfId="1" applyNumberFormat="1" applyFont="1" applyBorder="1" applyAlignment="1" applyProtection="1">
      <alignment horizontal="right"/>
    </xf>
    <xf numFmtId="3" fontId="2" fillId="0" borderId="44" xfId="1" applyNumberFormat="1" applyFont="1" applyBorder="1" applyAlignment="1" applyProtection="1">
      <alignment horizontal="center"/>
    </xf>
    <xf numFmtId="3" fontId="2" fillId="0" borderId="44" xfId="1" applyNumberFormat="1" applyFont="1" applyBorder="1" applyAlignment="1" applyProtection="1">
      <alignment horizontal="right"/>
    </xf>
    <xf numFmtId="167" fontId="8" fillId="0" borderId="0" xfId="0" applyNumberFormat="1" applyFont="1"/>
    <xf numFmtId="0" fontId="11" fillId="0" borderId="0" xfId="0" applyFont="1"/>
    <xf numFmtId="14" fontId="2" fillId="0" borderId="0" xfId="0" applyNumberFormat="1" applyFont="1" applyAlignment="1">
      <alignment horizontal="left"/>
    </xf>
    <xf numFmtId="44" fontId="8" fillId="2" borderId="13" xfId="3" applyFont="1" applyFill="1" applyBorder="1" applyProtection="1"/>
    <xf numFmtId="44" fontId="11" fillId="2" borderId="25" xfId="3" applyFont="1" applyFill="1" applyBorder="1" applyProtection="1"/>
    <xf numFmtId="44" fontId="5" fillId="2" borderId="6" xfId="1" applyNumberFormat="1" applyFont="1" applyFill="1" applyBorder="1" applyAlignment="1" applyProtection="1">
      <alignment horizontal="center"/>
    </xf>
    <xf numFmtId="44" fontId="5" fillId="2" borderId="13" xfId="1" applyNumberFormat="1" applyFont="1" applyFill="1" applyBorder="1" applyAlignment="1" applyProtection="1">
      <alignment horizontal="right"/>
    </xf>
    <xf numFmtId="44" fontId="9" fillId="2" borderId="18" xfId="3" applyFont="1" applyFill="1" applyBorder="1" applyProtection="1"/>
    <xf numFmtId="0" fontId="9" fillId="0" borderId="0" xfId="0" applyFont="1" applyAlignment="1" applyProtection="1">
      <alignment horizontal="left"/>
      <protection locked="0"/>
    </xf>
    <xf numFmtId="0" fontId="9" fillId="3" borderId="0" xfId="0" applyFont="1" applyFill="1" applyAlignment="1" applyProtection="1">
      <alignment horizontal="left"/>
      <protection locked="0"/>
    </xf>
    <xf numFmtId="0" fontId="8" fillId="0" borderId="0" xfId="0" applyFont="1" applyAlignment="1">
      <alignment wrapText="1"/>
    </xf>
    <xf numFmtId="0" fontId="8" fillId="0" borderId="3" xfId="0" applyFont="1" applyBorder="1" applyAlignment="1">
      <alignment horizontal="center" wrapText="1"/>
    </xf>
    <xf numFmtId="0" fontId="8" fillId="0" borderId="8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6" xfId="0" applyFont="1" applyBorder="1" applyAlignment="1">
      <alignment wrapText="1"/>
    </xf>
    <xf numFmtId="44" fontId="8" fillId="0" borderId="0" xfId="0" applyNumberFormat="1" applyFont="1" applyAlignment="1">
      <alignment wrapText="1"/>
    </xf>
    <xf numFmtId="9" fontId="11" fillId="0" borderId="0" xfId="5" applyFont="1" applyAlignment="1" applyProtection="1">
      <alignment horizontal="left" wrapText="1"/>
    </xf>
    <xf numFmtId="14" fontId="2" fillId="0" borderId="46" xfId="0" applyNumberFormat="1" applyFont="1" applyBorder="1"/>
    <xf numFmtId="0" fontId="2" fillId="0" borderId="37" xfId="0" applyFont="1" applyBorder="1" applyAlignment="1">
      <alignment horizontal="center"/>
    </xf>
    <xf numFmtId="0" fontId="5" fillId="0" borderId="37" xfId="0" applyFont="1" applyBorder="1" applyAlignment="1">
      <alignment horizontal="left"/>
    </xf>
    <xf numFmtId="0" fontId="5" fillId="0" borderId="37" xfId="0" applyFont="1" applyBorder="1"/>
    <xf numFmtId="0" fontId="9" fillId="0" borderId="47" xfId="0" applyFont="1" applyBorder="1" applyAlignment="1">
      <alignment horizontal="right" wrapText="1"/>
    </xf>
    <xf numFmtId="44" fontId="3" fillId="0" borderId="0" xfId="3" applyFont="1" applyProtection="1"/>
    <xf numFmtId="44" fontId="8" fillId="0" borderId="0" xfId="0" applyNumberFormat="1" applyFont="1"/>
    <xf numFmtId="14" fontId="9" fillId="0" borderId="0" xfId="0" applyNumberFormat="1" applyFont="1" applyAlignment="1" applyProtection="1">
      <alignment horizontal="left"/>
      <protection locked="0"/>
    </xf>
    <xf numFmtId="44" fontId="9" fillId="0" borderId="45" xfId="3" applyFont="1" applyFill="1" applyBorder="1" applyProtection="1"/>
    <xf numFmtId="0" fontId="13" fillId="0" borderId="0" xfId="0" applyFont="1"/>
    <xf numFmtId="44" fontId="13" fillId="0" borderId="0" xfId="3" applyFont="1" applyProtection="1"/>
    <xf numFmtId="0" fontId="12" fillId="4" borderId="36" xfId="0" applyFont="1" applyFill="1" applyBorder="1" applyAlignment="1">
      <alignment horizontal="right"/>
    </xf>
    <xf numFmtId="44" fontId="5" fillId="0" borderId="48" xfId="3" applyFont="1" applyFill="1" applyBorder="1" applyProtection="1"/>
    <xf numFmtId="44" fontId="5" fillId="0" borderId="49" xfId="3" applyFont="1" applyFill="1" applyBorder="1" applyProtection="1"/>
    <xf numFmtId="44" fontId="5" fillId="0" borderId="51" xfId="3" applyFont="1" applyFill="1" applyBorder="1" applyProtection="1"/>
    <xf numFmtId="44" fontId="5" fillId="0" borderId="50" xfId="3" applyFont="1" applyFill="1" applyBorder="1" applyProtection="1"/>
    <xf numFmtId="44" fontId="5" fillId="0" borderId="44" xfId="3" applyFont="1" applyFill="1" applyBorder="1" applyProtection="1"/>
    <xf numFmtId="0" fontId="9" fillId="0" borderId="47" xfId="0" applyFont="1" applyBorder="1" applyAlignment="1">
      <alignment horizontal="right"/>
    </xf>
    <xf numFmtId="0" fontId="7" fillId="0" borderId="0" xfId="0" applyFont="1"/>
    <xf numFmtId="0" fontId="2" fillId="0" borderId="12" xfId="0" applyFont="1" applyBorder="1"/>
    <xf numFmtId="0" fontId="8" fillId="0" borderId="16" xfId="0" applyFont="1" applyBorder="1" applyAlignment="1">
      <alignment horizontal="left" wrapText="1"/>
    </xf>
    <xf numFmtId="0" fontId="5" fillId="0" borderId="35" xfId="0" applyFont="1" applyBorder="1" applyAlignment="1">
      <alignment horizontal="left" wrapText="1"/>
    </xf>
    <xf numFmtId="0" fontId="5" fillId="3" borderId="8" xfId="3" applyNumberFormat="1" applyFont="1" applyFill="1" applyBorder="1" applyAlignment="1" applyProtection="1">
      <alignment horizontal="center"/>
    </xf>
    <xf numFmtId="44" fontId="5" fillId="0" borderId="8" xfId="3" applyFont="1" applyBorder="1" applyAlignment="1" applyProtection="1">
      <alignment horizontal="center"/>
    </xf>
    <xf numFmtId="0" fontId="5" fillId="0" borderId="35" xfId="4" applyFont="1" applyBorder="1" applyAlignment="1">
      <alignment horizontal="left" wrapText="1"/>
    </xf>
    <xf numFmtId="0" fontId="8" fillId="0" borderId="35" xfId="4" applyFont="1" applyBorder="1" applyAlignment="1">
      <alignment horizontal="left" wrapText="1"/>
    </xf>
    <xf numFmtId="44" fontId="8" fillId="0" borderId="16" xfId="3" applyFont="1" applyFill="1" applyBorder="1" applyAlignment="1" applyProtection="1"/>
    <xf numFmtId="44" fontId="8" fillId="0" borderId="14" xfId="3" applyFont="1" applyFill="1" applyBorder="1" applyAlignment="1" applyProtection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67" fontId="5" fillId="0" borderId="16" xfId="3" applyNumberFormat="1" applyFont="1" applyBorder="1" applyAlignment="1" applyProtection="1">
      <alignment horizontal="right"/>
    </xf>
    <xf numFmtId="167" fontId="5" fillId="0" borderId="16" xfId="3" applyNumberFormat="1" applyFont="1" applyFill="1" applyBorder="1" applyProtection="1"/>
    <xf numFmtId="167" fontId="5" fillId="0" borderId="3" xfId="3" applyNumberFormat="1" applyFont="1" applyBorder="1" applyAlignment="1" applyProtection="1">
      <alignment horizontal="right"/>
    </xf>
    <xf numFmtId="167" fontId="5" fillId="0" borderId="11" xfId="3" applyNumberFormat="1" applyFont="1" applyFill="1" applyBorder="1" applyProtection="1"/>
    <xf numFmtId="167" fontId="5" fillId="0" borderId="11" xfId="3" applyNumberFormat="1" applyFont="1" applyBorder="1" applyAlignment="1" applyProtection="1">
      <alignment horizontal="right"/>
    </xf>
    <xf numFmtId="167" fontId="9" fillId="0" borderId="53" xfId="3" applyNumberFormat="1" applyFont="1" applyFill="1" applyBorder="1" applyProtection="1"/>
    <xf numFmtId="167" fontId="9" fillId="0" borderId="54" xfId="3" applyNumberFormat="1" applyFont="1" applyFill="1" applyBorder="1" applyProtection="1"/>
    <xf numFmtId="167" fontId="9" fillId="0" borderId="55" xfId="3" applyNumberFormat="1" applyFont="1" applyFill="1" applyBorder="1" applyProtection="1"/>
    <xf numFmtId="167" fontId="5" fillId="0" borderId="3" xfId="3" applyNumberFormat="1" applyFont="1" applyFill="1" applyBorder="1" applyProtection="1"/>
    <xf numFmtId="3" fontId="2" fillId="0" borderId="56" xfId="1" applyNumberFormat="1" applyFont="1" applyBorder="1" applyAlignment="1" applyProtection="1">
      <alignment horizontal="right"/>
    </xf>
    <xf numFmtId="3" fontId="2" fillId="0" borderId="57" xfId="1" applyNumberFormat="1" applyFont="1" applyBorder="1" applyAlignment="1" applyProtection="1">
      <alignment horizontal="center"/>
    </xf>
    <xf numFmtId="3" fontId="2" fillId="0" borderId="58" xfId="1" applyNumberFormat="1" applyFont="1" applyBorder="1" applyAlignment="1" applyProtection="1">
      <alignment horizontal="right"/>
    </xf>
    <xf numFmtId="3" fontId="2" fillId="0" borderId="59" xfId="1" applyNumberFormat="1" applyFont="1" applyBorder="1" applyAlignment="1" applyProtection="1">
      <alignment horizontal="right"/>
    </xf>
    <xf numFmtId="3" fontId="2" fillId="0" borderId="60" xfId="1" applyNumberFormat="1" applyFont="1" applyBorder="1" applyAlignment="1" applyProtection="1">
      <alignment horizontal="center"/>
    </xf>
    <xf numFmtId="3" fontId="2" fillId="0" borderId="61" xfId="1" applyNumberFormat="1" applyFont="1" applyBorder="1" applyAlignment="1" applyProtection="1">
      <alignment horizontal="right"/>
    </xf>
    <xf numFmtId="3" fontId="2" fillId="0" borderId="62" xfId="1" applyNumberFormat="1" applyFont="1" applyBorder="1" applyAlignment="1" applyProtection="1">
      <alignment horizontal="right"/>
    </xf>
    <xf numFmtId="3" fontId="2" fillId="0" borderId="8" xfId="1" applyNumberFormat="1" applyFont="1" applyBorder="1" applyAlignment="1" applyProtection="1">
      <alignment horizontal="center"/>
    </xf>
    <xf numFmtId="3" fontId="2" fillId="0" borderId="63" xfId="1" applyNumberFormat="1" applyFont="1" applyBorder="1" applyAlignment="1" applyProtection="1">
      <alignment horizontal="right"/>
    </xf>
    <xf numFmtId="0" fontId="9" fillId="0" borderId="64" xfId="0" applyFont="1" applyBorder="1" applyAlignment="1">
      <alignment horizontal="right" wrapText="1"/>
    </xf>
    <xf numFmtId="167" fontId="5" fillId="0" borderId="8" xfId="3" applyNumberFormat="1" applyFont="1" applyFill="1" applyBorder="1" applyProtection="1"/>
    <xf numFmtId="167" fontId="9" fillId="4" borderId="54" xfId="3" applyNumberFormat="1" applyFont="1" applyFill="1" applyBorder="1" applyProtection="1"/>
    <xf numFmtId="167" fontId="9" fillId="4" borderId="55" xfId="3" applyNumberFormat="1" applyFont="1" applyFill="1" applyBorder="1" applyProtection="1"/>
    <xf numFmtId="0" fontId="12" fillId="4" borderId="64" xfId="0" applyFont="1" applyFill="1" applyBorder="1" applyAlignment="1">
      <alignment horizontal="right"/>
    </xf>
    <xf numFmtId="167" fontId="9" fillId="4" borderId="53" xfId="3" applyNumberFormat="1" applyFont="1" applyFill="1" applyBorder="1" applyProtection="1"/>
    <xf numFmtId="14" fontId="2" fillId="0" borderId="65" xfId="0" applyNumberFormat="1" applyFont="1" applyBorder="1"/>
    <xf numFmtId="0" fontId="2" fillId="0" borderId="6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167" fontId="5" fillId="0" borderId="68" xfId="3" applyNumberFormat="1" applyFont="1" applyBorder="1" applyAlignment="1" applyProtection="1">
      <alignment horizontal="right"/>
    </xf>
    <xf numFmtId="167" fontId="5" fillId="0" borderId="69" xfId="3" applyNumberFormat="1" applyFont="1" applyBorder="1" applyAlignment="1" applyProtection="1">
      <alignment horizontal="right"/>
    </xf>
    <xf numFmtId="167" fontId="5" fillId="0" borderId="70" xfId="3" applyNumberFormat="1" applyFont="1" applyBorder="1" applyAlignment="1" applyProtection="1">
      <alignment horizontal="right"/>
    </xf>
    <xf numFmtId="167" fontId="5" fillId="0" borderId="71" xfId="3" applyNumberFormat="1" applyFont="1" applyBorder="1" applyAlignment="1" applyProtection="1">
      <alignment horizontal="right"/>
    </xf>
    <xf numFmtId="167" fontId="5" fillId="0" borderId="72" xfId="3" applyNumberFormat="1" applyFont="1" applyBorder="1" applyAlignment="1" applyProtection="1">
      <alignment horizontal="right"/>
    </xf>
    <xf numFmtId="167" fontId="5" fillId="0" borderId="73" xfId="3" applyNumberFormat="1" applyFont="1" applyBorder="1" applyAlignment="1" applyProtection="1">
      <alignment horizontal="right"/>
    </xf>
    <xf numFmtId="167" fontId="5" fillId="0" borderId="68" xfId="3" applyNumberFormat="1" applyFont="1" applyFill="1" applyBorder="1" applyProtection="1"/>
    <xf numFmtId="167" fontId="5" fillId="0" borderId="70" xfId="3" applyNumberFormat="1" applyFont="1" applyFill="1" applyBorder="1" applyProtection="1"/>
    <xf numFmtId="167" fontId="5" fillId="0" borderId="72" xfId="3" applyNumberFormat="1" applyFont="1" applyFill="1" applyBorder="1" applyProtection="1"/>
    <xf numFmtId="167" fontId="5" fillId="0" borderId="57" xfId="3" applyNumberFormat="1" applyFont="1" applyFill="1" applyBorder="1" applyProtection="1"/>
    <xf numFmtId="167" fontId="5" fillId="0" borderId="74" xfId="3" applyNumberFormat="1" applyFont="1" applyBorder="1" applyAlignment="1" applyProtection="1">
      <alignment horizontal="right"/>
    </xf>
    <xf numFmtId="0" fontId="9" fillId="0" borderId="64" xfId="0" applyFont="1" applyBorder="1" applyAlignment="1">
      <alignment horizontal="right"/>
    </xf>
    <xf numFmtId="0" fontId="5" fillId="0" borderId="66" xfId="0" applyFont="1" applyBorder="1" applyAlignment="1" applyProtection="1">
      <alignment horizontal="left" wrapText="1"/>
      <protection locked="0"/>
    </xf>
    <xf numFmtId="0" fontId="5" fillId="0" borderId="66" xfId="4" applyFont="1" applyBorder="1" applyAlignment="1" applyProtection="1">
      <alignment horizontal="left" wrapText="1"/>
      <protection locked="0"/>
    </xf>
    <xf numFmtId="0" fontId="8" fillId="0" borderId="66" xfId="4" applyFont="1" applyBorder="1" applyAlignment="1" applyProtection="1">
      <alignment horizontal="left" wrapText="1"/>
      <protection locked="0"/>
    </xf>
    <xf numFmtId="0" fontId="5" fillId="0" borderId="66" xfId="0" applyFont="1" applyBorder="1" applyAlignment="1">
      <alignment horizontal="left"/>
    </xf>
    <xf numFmtId="0" fontId="5" fillId="0" borderId="66" xfId="0" applyFont="1" applyBorder="1"/>
    <xf numFmtId="0" fontId="14" fillId="0" borderId="16" xfId="6" applyBorder="1" applyAlignment="1" applyProtection="1">
      <alignment wrapText="1"/>
    </xf>
    <xf numFmtId="0" fontId="5" fillId="0" borderId="8" xfId="0" applyFont="1" applyBorder="1" applyAlignment="1">
      <alignment horizontal="center" wrapText="1"/>
    </xf>
    <xf numFmtId="3" fontId="5" fillId="0" borderId="8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5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top" wrapText="1"/>
    </xf>
    <xf numFmtId="0" fontId="8" fillId="0" borderId="16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9" fillId="5" borderId="40" xfId="0" applyFont="1" applyFill="1" applyBorder="1"/>
    <xf numFmtId="0" fontId="9" fillId="5" borderId="39" xfId="0" applyFont="1" applyFill="1" applyBorder="1"/>
    <xf numFmtId="0" fontId="9" fillId="5" borderId="38" xfId="0" applyFont="1" applyFill="1" applyBorder="1"/>
    <xf numFmtId="44" fontId="9" fillId="5" borderId="25" xfId="3" applyFont="1" applyFill="1" applyBorder="1" applyProtection="1"/>
    <xf numFmtId="10" fontId="8" fillId="3" borderId="0" xfId="0" applyNumberFormat="1" applyFont="1" applyFill="1" applyAlignment="1">
      <alignment horizontal="left" wrapText="1"/>
    </xf>
    <xf numFmtId="44" fontId="8" fillId="0" borderId="16" xfId="3" applyFont="1" applyFill="1" applyBorder="1" applyProtection="1"/>
    <xf numFmtId="44" fontId="8" fillId="0" borderId="11" xfId="3" applyFont="1" applyFill="1" applyBorder="1" applyProtection="1"/>
    <xf numFmtId="44" fontId="8" fillId="0" borderId="16" xfId="0" applyNumberFormat="1" applyFont="1" applyBorder="1"/>
    <xf numFmtId="44" fontId="8" fillId="0" borderId="14" xfId="3" applyFont="1" applyFill="1" applyBorder="1" applyProtection="1"/>
    <xf numFmtId="0" fontId="5" fillId="0" borderId="3" xfId="0" applyFont="1" applyBorder="1" applyAlignment="1">
      <alignment wrapText="1"/>
    </xf>
    <xf numFmtId="44" fontId="5" fillId="0" borderId="4" xfId="0" applyNumberFormat="1" applyFont="1" applyBorder="1"/>
    <xf numFmtId="44" fontId="5" fillId="0" borderId="2" xfId="0" applyNumberFormat="1" applyFont="1" applyBorder="1"/>
    <xf numFmtId="44" fontId="5" fillId="0" borderId="3" xfId="0" applyNumberFormat="1" applyFont="1" applyBorder="1" applyAlignment="1">
      <alignment horizontal="center"/>
    </xf>
    <xf numFmtId="44" fontId="5" fillId="0" borderId="19" xfId="0" applyNumberFormat="1" applyFont="1" applyBorder="1" applyAlignment="1">
      <alignment horizontal="center"/>
    </xf>
    <xf numFmtId="44" fontId="5" fillId="0" borderId="20" xfId="0" applyNumberFormat="1" applyFont="1" applyBorder="1" applyAlignment="1">
      <alignment horizontal="center"/>
    </xf>
    <xf numFmtId="44" fontId="5" fillId="0" borderId="23" xfId="0" applyNumberFormat="1" applyFont="1" applyBorder="1" applyAlignment="1">
      <alignment horizontal="center"/>
    </xf>
    <xf numFmtId="44" fontId="5" fillId="0" borderId="22" xfId="0" applyNumberFormat="1" applyFont="1" applyBorder="1" applyAlignment="1">
      <alignment horizontal="center"/>
    </xf>
    <xf numFmtId="44" fontId="9" fillId="0" borderId="0" xfId="0" applyNumberFormat="1" applyFont="1" applyAlignment="1">
      <alignment horizontal="right"/>
    </xf>
    <xf numFmtId="0" fontId="5" fillId="0" borderId="3" xfId="0" applyFont="1" applyBorder="1" applyAlignment="1">
      <alignment horizontal="center"/>
    </xf>
    <xf numFmtId="10" fontId="11" fillId="0" borderId="0" xfId="0" applyNumberFormat="1" applyFont="1"/>
    <xf numFmtId="3" fontId="5" fillId="0" borderId="1" xfId="0" applyNumberFormat="1" applyFont="1" applyBorder="1" applyAlignment="1">
      <alignment horizontal="center"/>
    </xf>
    <xf numFmtId="44" fontId="10" fillId="0" borderId="0" xfId="0" applyNumberFormat="1" applyFont="1" applyAlignment="1">
      <alignment horizontal="center"/>
    </xf>
    <xf numFmtId="44" fontId="9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2" borderId="2" xfId="1" applyFont="1" applyFill="1" applyBorder="1" applyAlignment="1" applyProtection="1">
      <alignment horizontal="right"/>
    </xf>
    <xf numFmtId="44" fontId="8" fillId="2" borderId="52" xfId="3" applyFont="1" applyFill="1" applyBorder="1" applyProtection="1"/>
    <xf numFmtId="44" fontId="8" fillId="2" borderId="0" xfId="3" applyFont="1" applyFill="1" applyBorder="1" applyProtection="1"/>
    <xf numFmtId="44" fontId="11" fillId="2" borderId="0" xfId="3" applyFont="1" applyFill="1" applyBorder="1" applyProtection="1"/>
    <xf numFmtId="44" fontId="5" fillId="2" borderId="0" xfId="1" applyNumberFormat="1" applyFont="1" applyFill="1" applyBorder="1" applyAlignment="1" applyProtection="1">
      <alignment horizontal="center"/>
    </xf>
    <xf numFmtId="44" fontId="5" fillId="2" borderId="0" xfId="1" applyNumberFormat="1" applyFont="1" applyFill="1" applyBorder="1" applyAlignment="1" applyProtection="1">
      <alignment horizontal="right"/>
    </xf>
    <xf numFmtId="44" fontId="5" fillId="2" borderId="0" xfId="3" applyFont="1" applyFill="1" applyBorder="1" applyProtection="1"/>
    <xf numFmtId="44" fontId="9" fillId="2" borderId="0" xfId="3" applyFont="1" applyFill="1" applyBorder="1" applyProtection="1"/>
    <xf numFmtId="44" fontId="9" fillId="5" borderId="0" xfId="3" applyFont="1" applyFill="1" applyBorder="1" applyProtection="1"/>
    <xf numFmtId="1" fontId="7" fillId="0" borderId="0" xfId="0" applyNumberFormat="1" applyFont="1" applyAlignment="1">
      <alignment horizontal="center"/>
    </xf>
    <xf numFmtId="1" fontId="8" fillId="0" borderId="16" xfId="0" applyNumberFormat="1" applyFont="1" applyBorder="1" applyAlignment="1">
      <alignment horizont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6" fontId="3" fillId="0" borderId="0" xfId="0" applyNumberFormat="1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10" fontId="8" fillId="0" borderId="0" xfId="0" applyNumberFormat="1" applyFont="1" applyAlignment="1">
      <alignment horizontal="left" wrapText="1"/>
    </xf>
    <xf numFmtId="166" fontId="7" fillId="0" borderId="12" xfId="0" applyNumberFormat="1" applyFont="1" applyBorder="1" applyAlignment="1">
      <alignment horizontal="center"/>
    </xf>
    <xf numFmtId="0" fontId="8" fillId="0" borderId="11" xfId="0" applyFont="1" applyBorder="1" applyAlignment="1">
      <alignment horizontal="left" wrapText="1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9" fontId="8" fillId="6" borderId="0" xfId="5" applyFont="1" applyFill="1" applyAlignment="1" applyProtection="1">
      <alignment horizontal="center"/>
      <protection locked="0"/>
    </xf>
    <xf numFmtId="10" fontId="8" fillId="6" borderId="0" xfId="0" applyNumberFormat="1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8" fontId="3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7" fontId="8" fillId="6" borderId="0" xfId="3" applyNumberFormat="1" applyFont="1" applyFill="1" applyAlignment="1" applyProtection="1">
      <alignment horizontal="center"/>
      <protection locked="0"/>
    </xf>
    <xf numFmtId="0" fontId="5" fillId="0" borderId="3" xfId="0" applyFont="1" applyBorder="1"/>
    <xf numFmtId="44" fontId="3" fillId="0" borderId="0" xfId="3" applyFont="1" applyFill="1" applyProtection="1"/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8" xfId="0" applyFont="1" applyFill="1" applyBorder="1" applyAlignment="1">
      <alignment horizontal="center" wrapText="1"/>
    </xf>
    <xf numFmtId="0" fontId="8" fillId="2" borderId="16" xfId="0" applyFont="1" applyFill="1" applyBorder="1" applyAlignment="1">
      <alignment horizontal="left" wrapText="1"/>
    </xf>
    <xf numFmtId="0" fontId="11" fillId="0" borderId="11" xfId="0" applyFont="1" applyBorder="1" applyAlignment="1">
      <alignment horizontal="center" wrapText="1"/>
    </xf>
    <xf numFmtId="44" fontId="8" fillId="0" borderId="16" xfId="3" applyFont="1" applyFill="1" applyBorder="1" applyAlignment="1" applyProtection="1">
      <alignment wrapText="1"/>
    </xf>
    <xf numFmtId="44" fontId="8" fillId="0" borderId="14" xfId="3" applyFont="1" applyFill="1" applyBorder="1" applyAlignment="1" applyProtection="1">
      <alignment wrapText="1"/>
    </xf>
    <xf numFmtId="167" fontId="8" fillId="2" borderId="18" xfId="3" applyNumberFormat="1" applyFont="1" applyFill="1" applyBorder="1" applyAlignment="1" applyProtection="1">
      <alignment wrapText="1"/>
    </xf>
    <xf numFmtId="167" fontId="8" fillId="2" borderId="11" xfId="3" applyNumberFormat="1" applyFont="1" applyFill="1" applyBorder="1" applyAlignment="1" applyProtection="1">
      <alignment wrapText="1"/>
    </xf>
    <xf numFmtId="167" fontId="8" fillId="2" borderId="10" xfId="3" applyNumberFormat="1" applyFont="1" applyFill="1" applyBorder="1" applyAlignment="1" applyProtection="1">
      <alignment wrapText="1"/>
    </xf>
    <xf numFmtId="44" fontId="8" fillId="2" borderId="13" xfId="3" applyFont="1" applyFill="1" applyBorder="1" applyAlignment="1" applyProtection="1">
      <alignment wrapText="1"/>
    </xf>
    <xf numFmtId="44" fontId="8" fillId="2" borderId="52" xfId="3" applyFont="1" applyFill="1" applyBorder="1" applyAlignment="1" applyProtection="1">
      <alignment wrapText="1"/>
    </xf>
    <xf numFmtId="0" fontId="3" fillId="0" borderId="0" xfId="0" applyFont="1" applyAlignment="1">
      <alignment wrapText="1"/>
    </xf>
    <xf numFmtId="167" fontId="3" fillId="0" borderId="0" xfId="3" applyNumberFormat="1" applyFont="1" applyAlignment="1" applyProtection="1">
      <alignment horizontal="left"/>
      <protection locked="0"/>
    </xf>
    <xf numFmtId="167" fontId="3" fillId="6" borderId="0" xfId="3" applyNumberFormat="1" applyFont="1" applyFill="1" applyAlignment="1" applyProtection="1">
      <alignment horizontal="left"/>
      <protection locked="0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44" fontId="5" fillId="0" borderId="77" xfId="3" applyFont="1" applyBorder="1" applyProtection="1"/>
    <xf numFmtId="44" fontId="5" fillId="0" borderId="22" xfId="3" applyFont="1" applyBorder="1" applyProtection="1"/>
    <xf numFmtId="0" fontId="17" fillId="8" borderId="64" xfId="0" applyFont="1" applyFill="1" applyBorder="1" applyAlignment="1">
      <alignment horizontal="center"/>
    </xf>
    <xf numFmtId="0" fontId="17" fillId="8" borderId="79" xfId="0" applyFont="1" applyFill="1" applyBorder="1" applyAlignment="1">
      <alignment horizontal="center"/>
    </xf>
    <xf numFmtId="10" fontId="8" fillId="6" borderId="0" xfId="5" applyNumberFormat="1" applyFont="1" applyFill="1" applyAlignment="1" applyProtection="1">
      <alignment horizontal="center"/>
      <protection locked="0"/>
    </xf>
    <xf numFmtId="169" fontId="8" fillId="6" borderId="0" xfId="5" applyNumberFormat="1" applyFont="1" applyFill="1" applyAlignment="1" applyProtection="1">
      <alignment horizontal="center"/>
      <protection locked="0"/>
    </xf>
    <xf numFmtId="0" fontId="5" fillId="0" borderId="7" xfId="0" applyFont="1" applyBorder="1" applyAlignment="1">
      <alignment horizontal="left"/>
    </xf>
    <xf numFmtId="49" fontId="8" fillId="0" borderId="16" xfId="0" applyNumberFormat="1" applyFont="1" applyBorder="1" applyAlignment="1">
      <alignment horizontal="center" wrapText="1"/>
    </xf>
    <xf numFmtId="0" fontId="5" fillId="0" borderId="16" xfId="0" applyFont="1" applyBorder="1" applyAlignment="1">
      <alignment horizontal="left" wrapText="1"/>
    </xf>
    <xf numFmtId="0" fontId="20" fillId="0" borderId="16" xfId="0" applyFont="1" applyBorder="1" applyAlignment="1">
      <alignment horizontal="center" vertical="center" wrapText="1"/>
    </xf>
    <xf numFmtId="170" fontId="21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left"/>
    </xf>
    <xf numFmtId="0" fontId="22" fillId="0" borderId="16" xfId="0" applyFont="1" applyBorder="1" applyAlignment="1">
      <alignment horizontal="left" wrapText="1"/>
    </xf>
    <xf numFmtId="44" fontId="22" fillId="0" borderId="16" xfId="3" applyFont="1" applyFill="1" applyBorder="1"/>
    <xf numFmtId="0" fontId="6" fillId="0" borderId="16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170" fontId="22" fillId="0" borderId="0" xfId="0" applyNumberFormat="1" applyFont="1"/>
    <xf numFmtId="0" fontId="23" fillId="0" borderId="16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center" vertical="center" wrapText="1"/>
    </xf>
    <xf numFmtId="170" fontId="23" fillId="0" borderId="16" xfId="0" applyNumberFormat="1" applyFont="1" applyBorder="1" applyAlignment="1">
      <alignment horizontal="center" vertical="center" wrapText="1"/>
    </xf>
    <xf numFmtId="0" fontId="25" fillId="0" borderId="16" xfId="0" applyFont="1" applyBorder="1" applyAlignment="1">
      <alignment horizontal="left"/>
    </xf>
    <xf numFmtId="0" fontId="26" fillId="0" borderId="16" xfId="0" applyFont="1" applyBorder="1" applyAlignment="1">
      <alignment horizontal="left"/>
    </xf>
    <xf numFmtId="171" fontId="27" fillId="0" borderId="16" xfId="3" applyNumberFormat="1" applyFont="1" applyFill="1" applyBorder="1"/>
    <xf numFmtId="49" fontId="27" fillId="0" borderId="16" xfId="3" applyNumberFormat="1" applyFont="1" applyFill="1" applyBorder="1" applyAlignment="1">
      <alignment horizontal="center"/>
    </xf>
    <xf numFmtId="169" fontId="27" fillId="0" borderId="16" xfId="3" applyNumberFormat="1" applyFont="1" applyFill="1" applyBorder="1" applyAlignment="1">
      <alignment horizontal="center"/>
    </xf>
    <xf numFmtId="1" fontId="27" fillId="0" borderId="16" xfId="3" applyNumberFormat="1" applyFont="1" applyFill="1" applyBorder="1" applyAlignment="1">
      <alignment horizontal="center"/>
    </xf>
    <xf numFmtId="171" fontId="25" fillId="0" borderId="16" xfId="3" applyNumberFormat="1" applyFont="1" applyFill="1" applyBorder="1"/>
    <xf numFmtId="1" fontId="25" fillId="0" borderId="16" xfId="3" applyNumberFormat="1" applyFont="1" applyFill="1" applyBorder="1" applyAlignment="1">
      <alignment horizontal="center"/>
    </xf>
    <xf numFmtId="0" fontId="25" fillId="0" borderId="16" xfId="0" applyFont="1" applyBorder="1" applyAlignment="1">
      <alignment horizontal="left" wrapText="1"/>
    </xf>
    <xf numFmtId="1" fontId="27" fillId="0" borderId="8" xfId="3" applyNumberFormat="1" applyFont="1" applyFill="1" applyBorder="1" applyAlignment="1">
      <alignment horizontal="center"/>
    </xf>
    <xf numFmtId="169" fontId="27" fillId="0" borderId="8" xfId="3" applyNumberFormat="1" applyFont="1" applyFill="1" applyBorder="1" applyAlignment="1">
      <alignment horizontal="center"/>
    </xf>
    <xf numFmtId="0" fontId="5" fillId="2" borderId="8" xfId="3" applyNumberFormat="1" applyFont="1" applyFill="1" applyBorder="1" applyAlignment="1" applyProtection="1">
      <alignment horizontal="center"/>
    </xf>
    <xf numFmtId="1" fontId="5" fillId="2" borderId="8" xfId="3" applyNumberFormat="1" applyFont="1" applyFill="1" applyBorder="1" applyAlignment="1" applyProtection="1">
      <alignment horizontal="center"/>
    </xf>
    <xf numFmtId="44" fontId="5" fillId="2" borderId="37" xfId="3" applyFont="1" applyFill="1" applyBorder="1" applyProtection="1"/>
    <xf numFmtId="10" fontId="5" fillId="2" borderId="37" xfId="3" applyNumberFormat="1" applyFont="1" applyFill="1" applyBorder="1" applyProtection="1"/>
    <xf numFmtId="10" fontId="5" fillId="2" borderId="78" xfId="3" applyNumberFormat="1" applyFont="1" applyFill="1" applyBorder="1" applyProtection="1"/>
    <xf numFmtId="3" fontId="5" fillId="2" borderId="3" xfId="0" applyNumberFormat="1" applyFont="1" applyFill="1" applyBorder="1" applyAlignment="1">
      <alignment horizontal="center" wrapText="1"/>
    </xf>
    <xf numFmtId="3" fontId="5" fillId="2" borderId="8" xfId="0" applyNumberFormat="1" applyFont="1" applyFill="1" applyBorder="1" applyAlignment="1">
      <alignment horizontal="center" wrapText="1"/>
    </xf>
    <xf numFmtId="3" fontId="5" fillId="2" borderId="20" xfId="0" applyNumberFormat="1" applyFont="1" applyFill="1" applyBorder="1" applyAlignment="1">
      <alignment horizontal="center" wrapText="1"/>
    </xf>
    <xf numFmtId="44" fontId="8" fillId="2" borderId="16" xfId="3" applyFont="1" applyFill="1" applyBorder="1" applyAlignment="1" applyProtection="1">
      <alignment horizontal="left" wrapText="1"/>
    </xf>
    <xf numFmtId="0" fontId="8" fillId="2" borderId="16" xfId="0" applyFont="1" applyFill="1" applyBorder="1" applyAlignment="1">
      <alignment horizontal="center" wrapText="1"/>
    </xf>
    <xf numFmtId="0" fontId="5" fillId="2" borderId="1" xfId="0" applyFont="1" applyFill="1" applyBorder="1"/>
    <xf numFmtId="44" fontId="5" fillId="2" borderId="1" xfId="0" applyNumberFormat="1" applyFont="1" applyFill="1" applyBorder="1"/>
    <xf numFmtId="44" fontId="5" fillId="2" borderId="8" xfId="0" applyNumberFormat="1" applyFont="1" applyFill="1" applyBorder="1" applyAlignment="1">
      <alignment horizontal="center" wrapText="1"/>
    </xf>
    <xf numFmtId="44" fontId="5" fillId="2" borderId="20" xfId="0" applyNumberFormat="1" applyFont="1" applyFill="1" applyBorder="1" applyAlignment="1">
      <alignment horizontal="center"/>
    </xf>
    <xf numFmtId="44" fontId="8" fillId="2" borderId="3" xfId="0" applyNumberFormat="1" applyFont="1" applyFill="1" applyBorder="1"/>
    <xf numFmtId="44" fontId="8" fillId="2" borderId="16" xfId="0" applyNumberFormat="1" applyFont="1" applyFill="1" applyBorder="1"/>
    <xf numFmtId="44" fontId="8" fillId="2" borderId="16" xfId="0" applyNumberFormat="1" applyFont="1" applyFill="1" applyBorder="1" applyAlignment="1">
      <alignment horizontal="left"/>
    </xf>
    <xf numFmtId="44" fontId="5" fillId="2" borderId="1" xfId="0" applyNumberFormat="1" applyFont="1" applyFill="1" applyBorder="1" applyAlignment="1">
      <alignment horizontal="center"/>
    </xf>
    <xf numFmtId="44" fontId="8" fillId="2" borderId="3" xfId="0" applyNumberFormat="1" applyFont="1" applyFill="1" applyBorder="1" applyAlignment="1">
      <alignment horizontal="center"/>
    </xf>
    <xf numFmtId="44" fontId="8" fillId="2" borderId="1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44" fontId="8" fillId="2" borderId="3" xfId="0" applyNumberFormat="1" applyFont="1" applyFill="1" applyBorder="1" applyAlignment="1">
      <alignment horizontal="left"/>
    </xf>
    <xf numFmtId="44" fontId="5" fillId="2" borderId="76" xfId="0" applyNumberFormat="1" applyFont="1" applyFill="1" applyBorder="1" applyAlignment="1">
      <alignment horizontal="left"/>
    </xf>
    <xf numFmtId="44" fontId="5" fillId="2" borderId="16" xfId="0" applyNumberFormat="1" applyFont="1" applyFill="1" applyBorder="1" applyAlignment="1">
      <alignment horizontal="left"/>
    </xf>
    <xf numFmtId="0" fontId="5" fillId="2" borderId="1" xfId="2" applyFont="1" applyFill="1" applyBorder="1" applyProtection="1"/>
    <xf numFmtId="165" fontId="5" fillId="2" borderId="1" xfId="0" applyNumberFormat="1" applyFont="1" applyFill="1" applyBorder="1" applyAlignment="1">
      <alignment horizontal="center"/>
    </xf>
    <xf numFmtId="4" fontId="5" fillId="2" borderId="20" xfId="0" applyNumberFormat="1" applyFont="1" applyFill="1" applyBorder="1" applyAlignment="1">
      <alignment horizontal="center"/>
    </xf>
    <xf numFmtId="44" fontId="8" fillId="2" borderId="16" xfId="3" applyFont="1" applyFill="1" applyBorder="1" applyAlignment="1" applyProtection="1">
      <alignment wrapText="1"/>
    </xf>
    <xf numFmtId="44" fontId="5" fillId="2" borderId="1" xfId="2" applyNumberFormat="1" applyFont="1" applyFill="1" applyBorder="1" applyProtection="1"/>
    <xf numFmtId="44" fontId="8" fillId="2" borderId="16" xfId="3" applyFont="1" applyFill="1" applyBorder="1" applyAlignment="1" applyProtection="1"/>
    <xf numFmtId="44" fontId="8" fillId="2" borderId="16" xfId="3" applyFont="1" applyFill="1" applyBorder="1" applyProtection="1"/>
    <xf numFmtId="0" fontId="5" fillId="2" borderId="1" xfId="2" applyNumberFormat="1" applyFont="1" applyFill="1" applyBorder="1" applyProtection="1"/>
    <xf numFmtId="44" fontId="12" fillId="4" borderId="80" xfId="3" applyFont="1" applyFill="1" applyBorder="1" applyProtection="1"/>
    <xf numFmtId="167" fontId="3" fillId="7" borderId="0" xfId="0" applyNumberFormat="1" applyFont="1" applyFill="1"/>
    <xf numFmtId="0" fontId="14" fillId="0" borderId="0" xfId="6" applyBorder="1" applyProtection="1"/>
    <xf numFmtId="167" fontId="3" fillId="0" borderId="81" xfId="0" applyNumberFormat="1" applyFont="1" applyBorder="1"/>
    <xf numFmtId="0" fontId="10" fillId="0" borderId="82" xfId="0" applyFont="1" applyBorder="1"/>
    <xf numFmtId="49" fontId="3" fillId="6" borderId="16" xfId="0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9" fillId="0" borderId="14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5" fillId="2" borderId="8" xfId="1" applyFont="1" applyFill="1" applyBorder="1" applyAlignment="1" applyProtection="1">
      <alignment horizontal="center" wrapText="1"/>
    </xf>
    <xf numFmtId="0" fontId="5" fillId="2" borderId="20" xfId="1" applyFont="1" applyFill="1" applyBorder="1" applyAlignment="1" applyProtection="1">
      <alignment horizontal="center" wrapText="1"/>
    </xf>
    <xf numFmtId="166" fontId="7" fillId="0" borderId="0" xfId="0" applyNumberFormat="1" applyFont="1" applyAlignment="1">
      <alignment horizontal="left"/>
    </xf>
    <xf numFmtId="0" fontId="9" fillId="0" borderId="12" xfId="0" applyFont="1" applyBorder="1" applyAlignment="1">
      <alignment horizontal="right"/>
    </xf>
    <xf numFmtId="0" fontId="9" fillId="0" borderId="26" xfId="0" applyFont="1" applyBorder="1" applyAlignment="1">
      <alignment horizontal="right"/>
    </xf>
    <xf numFmtId="166" fontId="7" fillId="0" borderId="12" xfId="0" applyNumberFormat="1" applyFont="1" applyBorder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9" fillId="0" borderId="75" xfId="0" applyFont="1" applyBorder="1" applyAlignment="1">
      <alignment horizontal="right"/>
    </xf>
    <xf numFmtId="0" fontId="9" fillId="0" borderId="10" xfId="0" applyFont="1" applyBorder="1" applyAlignment="1">
      <alignment horizontal="right"/>
    </xf>
  </cellXfs>
  <cellStyles count="7">
    <cellStyle name="ColLevel_2" xfId="1" builtinId="2" iLevel="1"/>
    <cellStyle name="ColLevel_3" xfId="2" builtinId="2" iLevel="2"/>
    <cellStyle name="Currency" xfId="3" builtinId="4"/>
    <cellStyle name="Hyperlink" xfId="6" builtinId="8"/>
    <cellStyle name="Normal" xfId="0" builtinId="0"/>
    <cellStyle name="Normal_x-Providence Holy Cross CP Backing Estimate" xfId="4" xr:uid="{00000000-0005-0000-0000-000005000000}"/>
    <cellStyle name="Percent" xfId="5" builtinId="5"/>
  </cellStyles>
  <dxfs count="0"/>
  <tableStyles count="0" defaultTableStyle="TableStyleMedium2" defaultPivotStyle="PivotStyleLight16"/>
  <colors>
    <mruColors>
      <color rgb="FFFFFFCC"/>
      <color rgb="FFFB3A05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56"/>
  <sheetViews>
    <sheetView tabSelected="1" workbookViewId="0"/>
  </sheetViews>
  <sheetFormatPr defaultColWidth="8.88671875" defaultRowHeight="13.2"/>
  <cols>
    <col min="1" max="1" width="41.88671875" style="49" customWidth="1"/>
    <col min="2" max="2" width="17.109375" style="49" customWidth="1"/>
    <col min="3" max="3" width="11.33203125" style="49" customWidth="1"/>
    <col min="4" max="4" width="12" style="49" customWidth="1"/>
    <col min="5" max="5" width="8.5546875" style="49" customWidth="1"/>
    <col min="6" max="6" width="9.33203125" style="49" customWidth="1"/>
    <col min="7" max="7" width="16.6640625" style="49" customWidth="1"/>
    <col min="8" max="8" width="19.6640625" style="49" customWidth="1"/>
    <col min="9" max="9" width="12.33203125" style="49" customWidth="1"/>
    <col min="10" max="10" width="30.5546875" style="49" customWidth="1"/>
    <col min="11" max="16384" width="8.88671875" style="49"/>
  </cols>
  <sheetData>
    <row r="1" spans="1:27">
      <c r="A1" s="83" t="s">
        <v>62</v>
      </c>
      <c r="D1" s="219" t="s">
        <v>55</v>
      </c>
      <c r="E1" s="228">
        <v>9.7500000000000003E-2</v>
      </c>
      <c r="G1" s="1" t="s">
        <v>85</v>
      </c>
      <c r="H1" s="1"/>
      <c r="I1" s="37"/>
      <c r="J1" s="37"/>
      <c r="K1" s="37"/>
      <c r="L1" s="37"/>
      <c r="AA1" s="49" t="s">
        <v>94</v>
      </c>
    </row>
    <row r="2" spans="1:27">
      <c r="A2" s="83" t="s">
        <v>95</v>
      </c>
      <c r="D2" s="219" t="s">
        <v>65</v>
      </c>
      <c r="E2" s="233">
        <v>120</v>
      </c>
      <c r="G2" s="229">
        <v>2025</v>
      </c>
      <c r="H2" s="250">
        <v>120</v>
      </c>
      <c r="I2" s="37" t="s">
        <v>1676</v>
      </c>
      <c r="J2" s="37"/>
      <c r="K2" s="37"/>
      <c r="L2" s="37"/>
    </row>
    <row r="3" spans="1:27">
      <c r="A3" s="82" t="s">
        <v>47</v>
      </c>
      <c r="D3" s="219" t="s">
        <v>66</v>
      </c>
      <c r="E3" s="227">
        <v>0.03</v>
      </c>
      <c r="G3" s="229">
        <f>+G2+1</f>
        <v>2026</v>
      </c>
      <c r="H3" s="249">
        <f>+H2*1.05</f>
        <v>126</v>
      </c>
      <c r="I3" s="37"/>
      <c r="J3" s="37"/>
      <c r="K3" s="37"/>
      <c r="L3" s="37"/>
    </row>
    <row r="4" spans="1:27">
      <c r="A4" s="82" t="s">
        <v>57</v>
      </c>
      <c r="D4" s="219" t="s">
        <v>67</v>
      </c>
      <c r="E4" s="227">
        <v>0.08</v>
      </c>
      <c r="G4" s="229">
        <f>+G3+1</f>
        <v>2027</v>
      </c>
      <c r="H4" s="249">
        <f>+H3*1.05</f>
        <v>132.30000000000001</v>
      </c>
      <c r="I4" s="37"/>
      <c r="J4" s="37"/>
      <c r="K4" s="37"/>
      <c r="L4" s="37"/>
    </row>
    <row r="5" spans="1:27" ht="13.8" thickBot="1">
      <c r="A5" s="99">
        <f ca="1">NOW()</f>
        <v>45940.587119212963</v>
      </c>
      <c r="B5" s="218"/>
      <c r="C5" s="37"/>
      <c r="D5" s="219" t="s">
        <v>90</v>
      </c>
      <c r="E5" s="259">
        <v>6.0000000000000001E-3</v>
      </c>
      <c r="G5" s="229">
        <f>+G4+1</f>
        <v>2028</v>
      </c>
      <c r="H5" s="249">
        <f>+H4*1.05</f>
        <v>138.91500000000002</v>
      </c>
      <c r="I5" s="37"/>
      <c r="J5" s="37"/>
      <c r="K5" s="37"/>
      <c r="L5" s="37"/>
    </row>
    <row r="6" spans="1:27" ht="13.8" thickTop="1">
      <c r="A6" s="92"/>
      <c r="B6" s="71"/>
      <c r="D6" s="219" t="s">
        <v>89</v>
      </c>
      <c r="E6" s="258">
        <v>1.2500000000000001E-2</v>
      </c>
      <c r="G6" s="229">
        <f>+G5+1</f>
        <v>2029</v>
      </c>
      <c r="H6" s="249">
        <f>+H5*1.05</f>
        <v>145.86075000000002</v>
      </c>
    </row>
    <row r="7" spans="1:27">
      <c r="A7" s="93" t="s">
        <v>2</v>
      </c>
      <c r="B7" s="72" t="s">
        <v>8</v>
      </c>
    </row>
    <row r="8" spans="1:27" ht="13.8" thickBot="1">
      <c r="A8" s="93"/>
      <c r="B8" s="73"/>
    </row>
    <row r="9" spans="1:27" ht="13.8" thickBot="1">
      <c r="A9" s="109" t="s">
        <v>29</v>
      </c>
      <c r="B9" s="100">
        <f>SUM('Toilet Accessories'!R61+'Toilet Compartments'!R61+'Wall Protection'!R61+'Bike Racks'!R61+'Wire Mesh Partitions'!R61+Lockers!R61+'Visual Displays'!R61+FEC!R61+'Med Equipment'!R61+Appliances!R61+'Cubicle Curtains'!R61+'Est (9)'!R61+'Est (10)'!R61)</f>
        <v>0</v>
      </c>
      <c r="G9" s="256" t="s">
        <v>63</v>
      </c>
      <c r="H9" s="257" t="s">
        <v>64</v>
      </c>
    </row>
    <row r="10" spans="1:27">
      <c r="A10" s="113" t="s">
        <v>58</v>
      </c>
      <c r="B10" s="106">
        <f>SUM('Toilet Accessories'!R64+'Toilet Compartments'!R64+'Wall Protection'!R64+'Bike Racks'!R64+Lockers!R64+'Visual Displays'!R64+FEC!R64+'Wire Mesh Partitions'!R64+'Med Equipment'!R64+Appliances!R64+'Cubicle Curtains'!R64+'Est (9)'!R64+'Est (10)'!R64)</f>
        <v>0</v>
      </c>
      <c r="G10" s="323"/>
      <c r="H10" s="323"/>
    </row>
    <row r="11" spans="1:27">
      <c r="A11" s="113" t="s">
        <v>72</v>
      </c>
      <c r="B11" s="107">
        <f>SUM('Toilet Accessories'!R65+'Toilet Compartments'!R65+'Wall Protection'!R65+'Bike Racks'!R65+Lockers!R65+'Visual Displays'!R65+FEC!R65+'Wire Mesh Partitions'!R65+'Med Equipment'!R65+Appliances!R65+'Cubicle Curtains'!R65+'Est (9)'!R65+'Est (10)'!R65)</f>
        <v>0</v>
      </c>
      <c r="G11" s="97"/>
      <c r="I11" s="2" t="s">
        <v>61</v>
      </c>
      <c r="J11" s="2"/>
    </row>
    <row r="12" spans="1:27" ht="14.4">
      <c r="A12" s="116" t="s">
        <v>56</v>
      </c>
      <c r="B12" s="107">
        <f>SUM('Toilet Accessories'!R66+'Toilet Compartments'!R66+'Wall Protection'!R66+'Bike Racks'!R66+Lockers!R66+'Visual Displays'!R66+FEC!R66+'Wire Mesh Partitions'!R66+'Med Equipment'!R66+Appliances!R66+'Cubicle Curtains'!R66+'Est (9)'!R66+'Est (10)'!R66)</f>
        <v>0</v>
      </c>
      <c r="G12" s="97"/>
      <c r="I12" s="319">
        <f>ROUNDUP('Toilet Accessories'!R79,0)</f>
        <v>0</v>
      </c>
      <c r="J12" s="320" t="str">
        <f ca="1">'Toilet Accessories'!A3</f>
        <v>SCOPE: Toilet Accessories</v>
      </c>
    </row>
    <row r="13" spans="1:27" ht="14.4">
      <c r="A13" s="117" t="s">
        <v>86</v>
      </c>
      <c r="B13" s="108">
        <f>SUM('Toilet Accessories'!R67+'Toilet Compartments'!R67+'Wall Protection'!R67+'Bike Racks'!R67+Lockers!R67+'Visual Displays'!R67+FEC!R67+'Wire Mesh Partitions'!R67+'Med Equipment'!R67+Appliances!R67+'Cubicle Curtains'!R67+'Est (9)'!R67+'Est (10)'!R67)</f>
        <v>0</v>
      </c>
      <c r="G13" s="97"/>
      <c r="I13" s="319">
        <f>ROUNDUP('Toilet Compartments'!R79,0)</f>
        <v>0</v>
      </c>
      <c r="J13" s="320" t="str">
        <f ca="1">'Toilet Compartments'!A3</f>
        <v>SCOPE: Toilet Compartments</v>
      </c>
    </row>
    <row r="14" spans="1:27" ht="14.4">
      <c r="A14" s="117" t="s">
        <v>26</v>
      </c>
      <c r="B14" s="107">
        <f>SUM('Toilet Accessories'!R68+'Toilet Compartments'!R68+'Wall Protection'!R68+'Bike Racks'!R68+Lockers!R68+'Visual Displays'!R68+FEC!R68+'Wire Mesh Partitions'!R68+'Med Equipment'!R68+Appliances!R68+'Cubicle Curtains'!R68+'Est (9)'!R68+'Est (10)'!R68)</f>
        <v>0</v>
      </c>
      <c r="G14" s="97"/>
      <c r="I14" s="319">
        <f>ROUNDUP('Wall Protection'!R79,0)</f>
        <v>0</v>
      </c>
      <c r="J14" s="320" t="str">
        <f ca="1">'Wall Protection'!A3</f>
        <v>SCOPE: Wall Protection</v>
      </c>
    </row>
    <row r="15" spans="1:27" ht="15" thickBot="1">
      <c r="A15" s="117" t="s">
        <v>27</v>
      </c>
      <c r="B15" s="105">
        <f>SUM('Toilet Accessories'!R69+'Toilet Compartments'!R69+'Wall Protection'!R69+'Bike Racks'!R69+Lockers!R69+'Visual Displays'!R69+FEC!R69+'Wire Mesh Partitions'!R69+'Med Equipment'!R69+Appliances!R69+'Cubicle Curtains'!R69+'Est (9)'!R69+'Est (10)'!R69)</f>
        <v>0</v>
      </c>
      <c r="C15" s="52"/>
      <c r="G15" s="97"/>
      <c r="I15" s="319">
        <f>ROUNDUP(Appliances!R79,0)</f>
        <v>0</v>
      </c>
      <c r="J15" s="320" t="str">
        <f ca="1">Appliances!A3</f>
        <v>SCOPE: Appliances</v>
      </c>
    </row>
    <row r="16" spans="1:27" ht="15" thickBot="1">
      <c r="A16" s="96" t="s">
        <v>39</v>
      </c>
      <c r="B16" s="100">
        <f>SUM('Toilet Accessories'!R70+'Toilet Compartments'!R70+'Wall Protection'!R70+'Bike Racks'!R70+'Wire Mesh Partitions'!R70+Lockers!R70+'Visual Displays'!R70+FEC!R70+'Med Equipment'!R70+Appliances!R70+'Cubicle Curtains'!R70+'Est (9)'!R70+'Est (10)'!R70)</f>
        <v>0</v>
      </c>
      <c r="C16" s="74">
        <f>SUM(B9:B15)-B16</f>
        <v>0</v>
      </c>
      <c r="D16" s="52" t="s">
        <v>33</v>
      </c>
      <c r="G16" s="97"/>
      <c r="I16" s="319">
        <f>ROUNDUP(Lockers!R79,0)</f>
        <v>0</v>
      </c>
      <c r="J16" s="320" t="str">
        <f ca="1">Lockers!A3</f>
        <v>SCOPE: Lockers</v>
      </c>
    </row>
    <row r="17" spans="1:10" ht="14.4">
      <c r="A17" s="94" t="s">
        <v>0</v>
      </c>
      <c r="B17" s="104">
        <f>SUM('Toilet Accessories'!R71+'Toilet Compartments'!R71+'Wall Protection'!R71+'Bike Racks'!R71+'Wire Mesh Partitions'!R71+Lockers!R71+'Visual Displays'!R71+FEC!R71+'Med Equipment'!R71+Appliances!R71+'Cubicle Curtains'!R71+'Est (9)'!R71+'Est (10)'!R71)</f>
        <v>0</v>
      </c>
      <c r="C17" s="199" t="e">
        <f>B17/B16</f>
        <v>#DIV/0!</v>
      </c>
      <c r="G17" s="97"/>
      <c r="I17" s="319">
        <f>ROUNDUP('Visual Displays'!R79,0)</f>
        <v>0</v>
      </c>
      <c r="J17" s="320" t="str">
        <f ca="1">'Visual Displays'!A3</f>
        <v>SCOPE: Visual Displays</v>
      </c>
    </row>
    <row r="18" spans="1:10" ht="15" thickBot="1">
      <c r="A18" s="95" t="s">
        <v>52</v>
      </c>
      <c r="B18" s="105">
        <f>SUM('Toilet Accessories'!R72+'Toilet Compartments'!R72+'Wall Protection'!R72+'Bike Racks'!R72+'Wire Mesh Partitions'!R72+Lockers!R72+'Visual Displays'!R72+FEC!R72+'Med Equipment'!R72+Appliances!R72+'Cubicle Curtains'!R72+'Est (9)'!R72+'Est (10)'!R72)</f>
        <v>0</v>
      </c>
      <c r="C18" s="199" t="e">
        <f>B18/B16</f>
        <v>#DIV/0!</v>
      </c>
      <c r="G18" s="97"/>
      <c r="I18" s="319">
        <f>ROUNDUP(FEC!R79,0)</f>
        <v>0</v>
      </c>
      <c r="J18" s="320" t="str">
        <f ca="1">FEC!A3</f>
        <v>SCOPE: FEC</v>
      </c>
    </row>
    <row r="19" spans="1:10" ht="15" thickBot="1">
      <c r="A19" s="96" t="s">
        <v>39</v>
      </c>
      <c r="B19" s="100">
        <f>SUM('Toilet Accessories'!R73+'Toilet Compartments'!R73+'Wall Protection'!R73+'Bike Racks'!R73+'Wire Mesh Partitions'!R73+Lockers!R73+'Visual Displays'!R73+FEC!R73+'Med Equipment'!R73+Appliances!R73+'Cubicle Curtains'!R73+'Est (9)'!R73+'Est (10)'!R73)</f>
        <v>0</v>
      </c>
      <c r="C19" s="199">
        <f>SUM(B16:B18)-B19</f>
        <v>0</v>
      </c>
      <c r="D19" s="52" t="s">
        <v>33</v>
      </c>
      <c r="G19" s="97"/>
      <c r="I19" s="319">
        <f>ROUNDUP('Bike Racks'!R79,0)</f>
        <v>0</v>
      </c>
      <c r="J19" s="320" t="str">
        <f ca="1">'Bike Racks'!A3</f>
        <v>SCOPE: Bike Racks</v>
      </c>
    </row>
    <row r="20" spans="1:10" ht="15" thickBot="1">
      <c r="A20" s="94" t="s">
        <v>54</v>
      </c>
      <c r="B20" s="104">
        <f>SUM('Toilet Accessories'!R74+'Toilet Compartments'!R74+'Wall Protection'!R74+'Bike Racks'!R74+'Wire Mesh Partitions'!R74+Lockers!R74+'Visual Displays'!R74+FEC!R74+'Med Equipment'!R74+Appliances!R74+'Cubicle Curtains'!R74+'Est (9)'!R74+'Est (10)'!R74)</f>
        <v>0</v>
      </c>
      <c r="C20" s="199" t="e">
        <f>B20/B19</f>
        <v>#DIV/0!</v>
      </c>
      <c r="G20" s="97"/>
      <c r="I20" s="319">
        <f>ROUNDUP('Wire Mesh Partitions'!R79,0)</f>
        <v>0</v>
      </c>
      <c r="J20" s="320" t="str">
        <f ca="1">'Wire Mesh Partitions'!A3</f>
        <v>SCOPE: Wire Mesh Partitions</v>
      </c>
    </row>
    <row r="21" spans="1:10" ht="15" thickBot="1">
      <c r="A21" s="160" t="s">
        <v>39</v>
      </c>
      <c r="B21" s="104">
        <f>SUM('Toilet Accessories'!R75+'Toilet Compartments'!R75+'Wall Protection'!R75+'Bike Racks'!R75+'Wire Mesh Partitions'!R75+Lockers!R75+'Visual Displays'!R75+FEC!R75+'Med Equipment'!R75+Appliances!R75+'Cubicle Curtains'!R75+'Est (9)'!R75+'Est (10)'!R75)</f>
        <v>0</v>
      </c>
      <c r="C21" s="199">
        <f>SUM(B19:B20,B22,B24)-B25</f>
        <v>0</v>
      </c>
      <c r="D21" s="52" t="s">
        <v>33</v>
      </c>
      <c r="E21" s="52"/>
      <c r="G21" s="97"/>
      <c r="I21" s="319">
        <f>ROUNDUP('Cubicle Curtains'!R79,0)</f>
        <v>0</v>
      </c>
      <c r="J21" s="320" t="str">
        <f ca="1">'Cubicle Curtains'!A3</f>
        <v>SCOPE: Cubicle Curtains</v>
      </c>
    </row>
    <row r="22" spans="1:10" s="101" customFormat="1" ht="16.2" thickBot="1">
      <c r="A22" s="260" t="s">
        <v>87</v>
      </c>
      <c r="B22" s="104">
        <f>SUM('Toilet Accessories'!R76+'Toilet Compartments'!R76+'Wall Protection'!R76+'Bike Racks'!R76+'Wire Mesh Partitions'!R76+Lockers!R76+'Visual Displays'!R76+FEC!R76+'Med Equipment'!R76+Appliances!R76+'Cubicle Curtains'!R76+'Est (9)'!R76+'Est (10)'!R76)</f>
        <v>0</v>
      </c>
      <c r="C22" s="199" t="e">
        <f>SUM(B20:B20)/B19</f>
        <v>#DIV/0!</v>
      </c>
      <c r="D22" s="75" t="s">
        <v>53</v>
      </c>
      <c r="E22" s="52"/>
      <c r="F22" s="52"/>
      <c r="G22" s="102"/>
      <c r="I22" s="319">
        <f>ROUNDUP('Med Equipment'!R79,0)</f>
        <v>0</v>
      </c>
      <c r="J22" s="320" t="str">
        <f ca="1">'Med Equipment'!A3</f>
        <v>SCOPE: Med Equipment</v>
      </c>
    </row>
    <row r="23" spans="1:10" ht="15" thickBot="1">
      <c r="A23" s="160" t="s">
        <v>39</v>
      </c>
      <c r="B23" s="104">
        <f>SUM('Toilet Accessories'!R77+'Toilet Compartments'!R77+'Wall Protection'!R77+'Bike Racks'!R77+'Wire Mesh Partitions'!R77+Lockers!R77+'Visual Displays'!R77+FEC!R77+'Med Equipment'!R77+Appliances!R77+'Cubicle Curtains'!R77+'Est (9)'!R77+'Est (10)'!R77)</f>
        <v>0</v>
      </c>
      <c r="C23" s="199"/>
      <c r="D23" s="75"/>
      <c r="E23" s="75"/>
      <c r="I23" s="319">
        <f>ROUNDUP('Est (9)'!R79,0)</f>
        <v>0</v>
      </c>
      <c r="J23" s="320" t="str">
        <f ca="1">'Est (9)'!A3</f>
        <v>SCOPE: Est (9)</v>
      </c>
    </row>
    <row r="24" spans="1:10" ht="15" thickBot="1">
      <c r="A24" s="260" t="s">
        <v>91</v>
      </c>
      <c r="B24" s="104">
        <f>SUM('Toilet Accessories'!R78+'Toilet Compartments'!R78+'Wall Protection'!R78+'Bike Racks'!R78+'Wire Mesh Partitions'!R78+Lockers!R78+'Visual Displays'!R78+FEC!R78+'Med Equipment'!R78+Appliances!R78+'Cubicle Curtains'!R78+'Est (9)'!R78+'Est (10)'!R78)</f>
        <v>0</v>
      </c>
      <c r="C24" s="199" t="e">
        <f>SUM(B18+B20)/B16</f>
        <v>#DIV/0!</v>
      </c>
      <c r="I24" s="319">
        <f>ROUNDUP('Est (10)'!R79,0)</f>
        <v>0</v>
      </c>
      <c r="J24" s="320" t="str">
        <f ca="1">'Est (10)'!A3</f>
        <v>SCOPE: Est (10)</v>
      </c>
    </row>
    <row r="25" spans="1:10" ht="16.8" thickTop="1" thickBot="1">
      <c r="A25" s="103" t="s">
        <v>38</v>
      </c>
      <c r="B25" s="318">
        <f>SUM('Toilet Accessories'!R79+'Toilet Compartments'!R79+'Wall Protection'!R79+'Bike Racks'!R79+'Wire Mesh Partitions'!R79+Lockers!R79+'Visual Displays'!R79+FEC!R79+'Med Equipment'!R79+Appliances!R79+'Cubicle Curtains'!R79+'Est (9)'!R79+'Est (10)'!R79)</f>
        <v>0</v>
      </c>
      <c r="C25" s="199"/>
      <c r="I25" s="321">
        <f>SUM(I12:I24)</f>
        <v>0</v>
      </c>
      <c r="J25" s="322" t="s">
        <v>1675</v>
      </c>
    </row>
    <row r="26" spans="1:10" ht="30.75" customHeight="1" thickTop="1"/>
    <row r="29" spans="1:10" ht="14.4">
      <c r="A29"/>
    </row>
    <row r="43" spans="1:4">
      <c r="B43" s="48" t="s">
        <v>68</v>
      </c>
      <c r="C43" s="48"/>
      <c r="D43" s="169"/>
    </row>
    <row r="44" spans="1:4">
      <c r="B44" s="48" t="s">
        <v>69</v>
      </c>
      <c r="C44" s="48" t="s">
        <v>70</v>
      </c>
      <c r="D44" s="169"/>
    </row>
    <row r="45" spans="1:4">
      <c r="A45" s="232" t="s">
        <v>71</v>
      </c>
      <c r="B45" s="230">
        <f>+'Toilet Accessories'!E102+'Toilet Compartments'!E102+'Wall Protection'!E102+Appliances!E102+Lockers!E102+'Visual Displays'!E102+FEC!E102+'Bike Racks'!E102+'Wire Mesh Partitions'!E102+'Cubicle Curtains'!E102+'Med Equipment'!E102+'Est (9)'!E102+'Est (10)'!E102</f>
        <v>0</v>
      </c>
      <c r="C45" s="230"/>
      <c r="D45" s="169"/>
    </row>
    <row r="46" spans="1:4">
      <c r="A46" s="232" t="s">
        <v>72</v>
      </c>
      <c r="B46" s="230">
        <f>+'Toilet Accessories'!E103+'Toilet Compartments'!E103+'Wall Protection'!E103+Appliances!E103+Lockers!E103+'Visual Displays'!E103+FEC!E103+'Bike Racks'!E103+'Wire Mesh Partitions'!E103+'Cubicle Curtains'!E103+'Med Equipment'!E103+'Est (9)'!E103+'Est (10)'!E103</f>
        <v>0</v>
      </c>
      <c r="C46" s="230"/>
      <c r="D46" s="169"/>
    </row>
    <row r="47" spans="1:4">
      <c r="A47" s="232" t="s">
        <v>73</v>
      </c>
      <c r="B47" s="230">
        <f>+'Toilet Accessories'!E104+'Toilet Compartments'!E104+'Wall Protection'!E104+Appliances!E104+Lockers!E104+'Visual Displays'!E104+FEC!E104+'Bike Racks'!E104+'Wire Mesh Partitions'!E104+'Cubicle Curtains'!E104+'Med Equipment'!E104+'Est (9)'!E104+'Est (10)'!E104</f>
        <v>0</v>
      </c>
      <c r="C47" s="230">
        <f>+'Toilet Accessories'!F104+'Toilet Compartments'!F104+'Wall Protection'!F104+Appliances!F104+Lockers!F104+'Visual Displays'!F104+FEC!F104+'Bike Racks'!F104+'Wire Mesh Partitions'!F104+'Cubicle Curtains'!F104+'Med Equipment'!F104+'Est (9)'!F104+'Est (10)'!F104</f>
        <v>0</v>
      </c>
      <c r="D47" s="169"/>
    </row>
    <row r="48" spans="1:4">
      <c r="A48" s="232" t="s">
        <v>74</v>
      </c>
      <c r="B48" s="230">
        <f>+'Toilet Accessories'!E105+'Toilet Compartments'!E105+'Wall Protection'!E105+Appliances!E105+Lockers!E105+'Visual Displays'!E105+FEC!E105+'Bike Racks'!E105+'Wire Mesh Partitions'!E105+'Cubicle Curtains'!E105+'Med Equipment'!E105+'Est (9)'!E105+'Est (10)'!E105</f>
        <v>0</v>
      </c>
      <c r="C48" s="230">
        <f>+'Toilet Accessories'!F105+'Toilet Compartments'!F105+'Wall Protection'!F105+Appliances!F105+Lockers!F105+'Visual Displays'!F105+FEC!F105+'Bike Racks'!F105+'Wire Mesh Partitions'!F105+'Cubicle Curtains'!F105+'Med Equipment'!F105+'Est (9)'!F105+'Est (10)'!F105</f>
        <v>0</v>
      </c>
      <c r="D48" s="169"/>
    </row>
    <row r="49" spans="1:4">
      <c r="A49" s="232" t="s">
        <v>75</v>
      </c>
      <c r="B49" s="230">
        <f>+'Toilet Accessories'!E106+'Toilet Compartments'!E106+'Wall Protection'!E106+Appliances!E106+Lockers!E106+'Visual Displays'!E106+FEC!E106+'Bike Racks'!E106+'Wire Mesh Partitions'!E106+'Cubicle Curtains'!E106+'Med Equipment'!E106+'Est (9)'!E106+'Est (10)'!E106</f>
        <v>0</v>
      </c>
      <c r="C49" s="230">
        <f>+'Toilet Accessories'!F106+'Toilet Compartments'!F106+'Wall Protection'!F106+Appliances!F106+Lockers!F106+'Visual Displays'!F106+FEC!F106+'Bike Racks'!F106+'Wire Mesh Partitions'!F106+'Cubicle Curtains'!F106+'Med Equipment'!F106+'Est (9)'!F106+'Est (10)'!F106</f>
        <v>0</v>
      </c>
      <c r="D49" s="169"/>
    </row>
    <row r="50" spans="1:4">
      <c r="A50" s="232" t="s">
        <v>76</v>
      </c>
      <c r="B50" s="230">
        <f>+'Toilet Accessories'!E107+'Toilet Compartments'!E107+'Wall Protection'!E107+Appliances!E107+Lockers!E107+'Visual Displays'!E107+FEC!E107+'Bike Racks'!E107+'Wire Mesh Partitions'!E107+'Cubicle Curtains'!E107+'Med Equipment'!E107+'Est (9)'!E107+'Est (10)'!E107</f>
        <v>0</v>
      </c>
      <c r="C50" s="230">
        <f>+'Toilet Accessories'!F107+'Toilet Compartments'!F107+'Wall Protection'!F107+Appliances!F107+Lockers!F107+'Visual Displays'!F107+FEC!F107+'Bike Racks'!F107+'Wire Mesh Partitions'!F107+'Cubicle Curtains'!F107+'Med Equipment'!F107+'Est (9)'!F107+'Est (10)'!F107</f>
        <v>0</v>
      </c>
      <c r="D50" s="169"/>
    </row>
    <row r="51" spans="1:4">
      <c r="A51" s="232" t="s">
        <v>77</v>
      </c>
      <c r="B51" s="230">
        <f>SUM(B45:B50)</f>
        <v>0</v>
      </c>
      <c r="C51" s="230">
        <f>SUM(C45:C50)</f>
        <v>0</v>
      </c>
      <c r="D51" s="169"/>
    </row>
    <row r="52" spans="1:4">
      <c r="A52" s="232" t="s">
        <v>78</v>
      </c>
      <c r="B52" s="230">
        <f>C51</f>
        <v>0</v>
      </c>
      <c r="C52" s="230"/>
      <c r="D52" s="169"/>
    </row>
    <row r="53" spans="1:4">
      <c r="A53" s="232" t="s">
        <v>79</v>
      </c>
      <c r="B53" s="230">
        <f>B51+C51</f>
        <v>0</v>
      </c>
      <c r="C53" s="231">
        <f>B53-B25+B55+B56</f>
        <v>0</v>
      </c>
      <c r="D53" s="169" t="s">
        <v>80</v>
      </c>
    </row>
    <row r="55" spans="1:4">
      <c r="A55" s="232" t="s">
        <v>92</v>
      </c>
      <c r="B55" s="230">
        <f>+'Toilet Accessories'!R76+'Toilet Compartments'!R76+'Wall Protection'!R76+Appliances!R76+Lockers!R76+'Visual Displays'!R76+FEC!R76+'Bike Racks'!R76+'Wire Mesh Partitions'!R76+'Cubicle Curtains'!R76+'Med Equipment'!R76+'Est (9)'!R76+'Est (10)'!R76</f>
        <v>0</v>
      </c>
    </row>
    <row r="56" spans="1:4">
      <c r="A56" s="232" t="s">
        <v>93</v>
      </c>
      <c r="B56" s="230">
        <f>+'Toilet Accessories'!R78+'Toilet Compartments'!R78+'Wall Protection'!R78+Appliances!R78+Lockers!R78+'Visual Displays'!R78+FEC!R78+'Bike Racks'!R78+'Wire Mesh Partitions'!R78+'Cubicle Curtains'!R78+'Med Equipment'!R78+'Est (9)'!R78+'Est (10)'!R78</f>
        <v>0</v>
      </c>
    </row>
  </sheetData>
  <mergeCells count="2">
    <mergeCell ref="I11:J11"/>
    <mergeCell ref="G1:H1"/>
  </mergeCells>
  <hyperlinks>
    <hyperlink ref="J12" location="'Toilet Accessories'!A1" display="'Toilet Accessories'!A1" xr:uid="{0E395147-C4CC-410B-A427-6FF71C891F1D}"/>
    <hyperlink ref="J13" location="'Toilet Compartments'!A1" display="'Toilet Compartments'!A1" xr:uid="{02C084A1-5E0F-46CB-AC7B-37B46575CCAC}"/>
    <hyperlink ref="J14" location="'Wall Protection'!A1" display="'Wall Protection'!A1" xr:uid="{0AE59998-6E94-4A15-8240-C88B8A0EE4AB}"/>
    <hyperlink ref="J15" location="Appliances!A1" display="Appliances!A1" xr:uid="{66972EF1-4647-4B8A-B379-2061B9118BB5}"/>
    <hyperlink ref="J16" location="Lockers!A1" display="Lockers!A1" xr:uid="{951F43D9-8DBB-40F2-9F9F-491B3869CF5B}"/>
    <hyperlink ref="J17" location="'Visual Displays'!A1" display="'Visual Displays'!A1" xr:uid="{2AEA0F3D-EF19-428A-ADB9-1AB1ADBF2F90}"/>
    <hyperlink ref="J18" location="FEC!A1" display="FEC!A1" xr:uid="{6F94FFAA-2F4E-4204-A274-008EFBE3F1C7}"/>
    <hyperlink ref="J19" location="'Bike Racks'!A1" display="'Bike Racks'!A1" xr:uid="{5BF3CCB8-D35C-422C-806F-102FE2C75AD5}"/>
    <hyperlink ref="J20" location="'Wire Mesh Partitions'!A1" display="'Wire Mesh Partitions'!A1" xr:uid="{6212EE11-359B-49C7-9B94-C478F59984E5}"/>
    <hyperlink ref="J21" location="'Cubicle Curtains'!A1" display="'Cubicle Curtains'!A1" xr:uid="{052C6D01-606C-44EE-BDD4-92E95BC672C4}"/>
    <hyperlink ref="J22" location="'Med Equipment'!A1" display="'Med Equipment'!A1" xr:uid="{B4A00E37-EA00-4BB5-BF3E-E09032402A28}"/>
    <hyperlink ref="J23" location="'Est (9)'!A1" display="'Est (9)'!A1" xr:uid="{388B85AE-5694-40BD-A2B5-50526B921E79}"/>
    <hyperlink ref="J24" location="'Est (10)'!A1" display="'Est (10)'!A1" xr:uid="{AB7C8394-8691-40F0-AA4A-F247015F32FA}"/>
  </hyperlinks>
  <pageMargins left="0.7" right="0.7" top="0.75" bottom="0.75" header="0.3" footer="0.3"/>
  <pageSetup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110"/>
  <sheetViews>
    <sheetView showGridLines="0" zoomScaleNormal="100" workbookViewId="0">
      <pane ySplit="8" topLeftCell="A9" activePane="bottomLeft" state="frozen"/>
      <selection activeCell="C65" sqref="C65"/>
      <selection pane="bottomLeft" activeCell="C29" sqref="C2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217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49" customWidth="1"/>
    <col min="10" max="13" width="10.6640625" style="49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22" width="11.88671875" style="49" customWidth="1"/>
    <col min="23" max="23" width="28.109375" style="49" bestFit="1" customWidth="1"/>
    <col min="24" max="24" width="8.88671875" style="235"/>
    <col min="25" max="25" width="10" style="235" bestFit="1" customWidth="1"/>
    <col min="26" max="26" width="47.88671875" style="49" customWidth="1"/>
    <col min="27" max="16384" width="8.88671875" style="49"/>
  </cols>
  <sheetData>
    <row r="1" spans="1:26" ht="14.4" customHeight="1">
      <c r="A1" s="110" t="str">
        <f>'summary sheet'!A1</f>
        <v xml:space="preserve">PROJECT:  </v>
      </c>
      <c r="B1" s="176"/>
      <c r="C1" s="110"/>
      <c r="D1" s="214"/>
      <c r="E1" s="110"/>
      <c r="F1" s="12"/>
      <c r="G1" s="173"/>
    </row>
    <row r="2" spans="1:26" ht="14.4" customHeight="1">
      <c r="A2" s="110" t="str">
        <f>'summary sheet'!A2:A2</f>
        <v xml:space="preserve">SHIP TO:  </v>
      </c>
      <c r="B2" s="176"/>
      <c r="C2" s="110"/>
      <c r="D2" s="214"/>
      <c r="E2" s="110"/>
      <c r="F2" s="12"/>
      <c r="G2" s="173"/>
    </row>
    <row r="3" spans="1:26" ht="14.4" customHeight="1">
      <c r="A3" s="110" t="str" cm="1">
        <f t="array" aca="1" ref="A3" ca="1">CONCATENATE("SCOPE: ",MID(CELL("filename",A1),FIND("]",CELL("filename",A1))+1,255))</f>
        <v>SCOPE: Toilet Accessories</v>
      </c>
      <c r="C3" s="110"/>
      <c r="D3" s="214"/>
      <c r="E3" s="110"/>
      <c r="F3" s="12"/>
      <c r="G3" s="173"/>
    </row>
    <row r="4" spans="1:26" ht="14.4" customHeight="1">
      <c r="A4" s="110" t="str">
        <f>'summary sheet'!A4</f>
        <v xml:space="preserve">BID INFO:  </v>
      </c>
      <c r="B4" s="176"/>
      <c r="C4" s="110"/>
      <c r="D4" s="214"/>
      <c r="E4" s="110"/>
      <c r="F4" s="12"/>
      <c r="G4" s="173"/>
    </row>
    <row r="5" spans="1:26" ht="14.4" customHeight="1">
      <c r="A5" s="330">
        <f ca="1">'summary sheet'!A5</f>
        <v>45940.587119212963</v>
      </c>
      <c r="B5" s="330"/>
      <c r="C5" s="223"/>
      <c r="D5" s="224"/>
      <c r="E5" s="223"/>
      <c r="F5" s="76"/>
      <c r="G5" s="173"/>
      <c r="M5" s="50"/>
      <c r="R5" s="50"/>
      <c r="S5" s="50"/>
      <c r="T5" s="50"/>
    </row>
    <row r="6" spans="1:26" ht="15" customHeight="1">
      <c r="A6" s="6" t="s">
        <v>1</v>
      </c>
      <c r="B6" s="234"/>
      <c r="C6" s="234"/>
      <c r="D6" s="234"/>
      <c r="E6" s="234"/>
      <c r="F6" s="234"/>
      <c r="G6" s="234"/>
      <c r="H6" s="234"/>
      <c r="I6" s="296"/>
      <c r="J6" s="310" t="s">
        <v>20</v>
      </c>
      <c r="K6" s="8"/>
      <c r="L6" s="8"/>
      <c r="M6" s="9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  <c r="V6" s="170"/>
      <c r="W6" s="234"/>
      <c r="X6" s="291" t="s">
        <v>81</v>
      </c>
      <c r="Y6" s="236"/>
      <c r="Z6" s="237"/>
    </row>
    <row r="7" spans="1:26" ht="23.25" customHeight="1">
      <c r="A7" s="4" t="s">
        <v>1</v>
      </c>
      <c r="B7" s="167" t="s">
        <v>11</v>
      </c>
      <c r="C7" s="167" t="s">
        <v>12</v>
      </c>
      <c r="D7" s="167" t="s">
        <v>51</v>
      </c>
      <c r="E7" s="167" t="s">
        <v>2</v>
      </c>
      <c r="F7" s="167" t="s">
        <v>13</v>
      </c>
      <c r="G7" s="167" t="s">
        <v>50</v>
      </c>
      <c r="H7" s="167" t="s">
        <v>48</v>
      </c>
      <c r="I7" s="238" t="s">
        <v>49</v>
      </c>
      <c r="J7" s="311" t="s">
        <v>5</v>
      </c>
      <c r="K7" s="10" t="s">
        <v>6</v>
      </c>
      <c r="L7" s="10" t="s">
        <v>10</v>
      </c>
      <c r="M7" s="11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  <c r="V7" s="167" t="s">
        <v>83</v>
      </c>
      <c r="W7" s="167" t="s">
        <v>84</v>
      </c>
      <c r="X7" s="292" t="s">
        <v>82</v>
      </c>
      <c r="Y7" s="238" t="s">
        <v>48</v>
      </c>
      <c r="Z7" s="238" t="s">
        <v>2</v>
      </c>
    </row>
    <row r="8" spans="1:26" ht="15.75" customHeight="1" thickBot="1">
      <c r="A8" s="13" t="s">
        <v>1</v>
      </c>
      <c r="B8" s="15"/>
      <c r="C8" s="15"/>
      <c r="D8" s="15"/>
      <c r="E8" s="15"/>
      <c r="F8" s="15"/>
      <c r="G8" s="15"/>
      <c r="H8" s="15"/>
      <c r="I8" s="35"/>
      <c r="J8" s="312"/>
      <c r="K8" s="17"/>
      <c r="L8" s="16"/>
      <c r="M8" s="18" t="s">
        <v>9</v>
      </c>
      <c r="N8" s="41"/>
      <c r="O8" s="34"/>
      <c r="P8" s="35"/>
      <c r="Q8" s="34" t="s">
        <v>9</v>
      </c>
      <c r="R8" s="36"/>
      <c r="S8" s="329"/>
      <c r="T8" s="329"/>
      <c r="U8" s="87"/>
      <c r="V8" s="15"/>
      <c r="W8" s="15"/>
      <c r="X8" s="293"/>
      <c r="Y8" s="35"/>
      <c r="Z8" s="35"/>
    </row>
    <row r="9" spans="1:26" s="248" customFormat="1" ht="13.8" thickTop="1">
      <c r="A9" s="240">
        <v>1</v>
      </c>
      <c r="B9" s="178"/>
      <c r="C9" s="112"/>
      <c r="D9" s="261"/>
      <c r="E9" s="112"/>
      <c r="F9" s="262"/>
      <c r="G9" s="171"/>
      <c r="H9" s="171"/>
      <c r="I9" s="294">
        <f>'summary sheet'!$E$2</f>
        <v>120</v>
      </c>
      <c r="J9" s="313">
        <f t="shared" ref="J9:J58" si="0">SUM(I9*H9)*G9</f>
        <v>0</v>
      </c>
      <c r="K9" s="241">
        <v>0</v>
      </c>
      <c r="L9" s="241">
        <v>0</v>
      </c>
      <c r="M9" s="242">
        <v>0</v>
      </c>
      <c r="N9" s="243">
        <f t="shared" ref="N9" si="1">J9</f>
        <v>0</v>
      </c>
      <c r="O9" s="244">
        <f t="shared" ref="O9" si="2">SUM(G9)*K9</f>
        <v>0</v>
      </c>
      <c r="P9" s="244">
        <f t="shared" ref="P9" si="3">SUM(L9)</f>
        <v>0</v>
      </c>
      <c r="Q9" s="245">
        <f>M9</f>
        <v>0</v>
      </c>
      <c r="R9" s="246">
        <f t="shared" ref="R9" si="4">SUM(N9:Q9)</f>
        <v>0</v>
      </c>
      <c r="S9" s="247" t="e">
        <f>(R9/($R$61-$R$60))*SUM($R$64:$R$69,$R$71:$R$72,$R$74,$R$76,$R$78,$R$60)+R9</f>
        <v>#DIV/0!</v>
      </c>
      <c r="T9" s="247" t="e">
        <f t="shared" ref="T9:T58" si="5">S9/G9</f>
        <v>#DIV/0!</v>
      </c>
      <c r="U9" s="88"/>
      <c r="V9" s="241" t="str">
        <f t="shared" ref="V9:V58" si="6">IF($K9=0,$X9,$K9)</f>
        <v/>
      </c>
      <c r="W9" s="112" t="str">
        <f>IF($E9="",$Z9,$E9)</f>
        <v/>
      </c>
      <c r="X9" s="294" t="str">
        <f>IF($F9="","",INDEX('Bobrick Material Pricing 2025'!$A$2:$C$1000,MATCH($F9,'Bobrick Material Pricing 2025'!$A$2:$A$1000,0),3))</f>
        <v/>
      </c>
      <c r="Y9" s="295" t="str">
        <f>IF($F9="","",INDEX('Bobrick Labor Factors'!$A$2:$E$556,MATCH($F9,'Bobrick Labor Factors'!$A$2:$A$556,0),5))</f>
        <v/>
      </c>
      <c r="Z9" s="239" t="str">
        <f>IF($F9="","",INDEX('Bobrick Material Pricing 2025'!$A$2:$C$1000,MATCH($F9,'Bobrick Material Pricing 2025'!$A$2:$A$1000,0),2))</f>
        <v/>
      </c>
    </row>
    <row r="10" spans="1:26" s="248" customFormat="1">
      <c r="A10" s="240">
        <v>2</v>
      </c>
      <c r="B10" s="178"/>
      <c r="C10" s="112"/>
      <c r="D10" s="261"/>
      <c r="E10" s="112"/>
      <c r="F10" s="262"/>
      <c r="G10" s="171"/>
      <c r="H10" s="171"/>
      <c r="I10" s="294">
        <f>'summary sheet'!$E$2</f>
        <v>120</v>
      </c>
      <c r="J10" s="313">
        <f t="shared" si="0"/>
        <v>0</v>
      </c>
      <c r="K10" s="241">
        <v>0</v>
      </c>
      <c r="L10" s="241">
        <v>0</v>
      </c>
      <c r="M10" s="242">
        <v>0</v>
      </c>
      <c r="N10" s="243">
        <f t="shared" ref="N10:N58" si="7">J10</f>
        <v>0</v>
      </c>
      <c r="O10" s="244">
        <f t="shared" ref="O10:O58" si="8">SUM(G10)*K10</f>
        <v>0</v>
      </c>
      <c r="P10" s="244">
        <f t="shared" ref="P10:P58" si="9">SUM(L10)</f>
        <v>0</v>
      </c>
      <c r="Q10" s="245">
        <f t="shared" ref="Q10:Q58" si="10">M10</f>
        <v>0</v>
      </c>
      <c r="R10" s="246">
        <f t="shared" ref="R10:R58" si="11">SUM(N10:Q10)</f>
        <v>0</v>
      </c>
      <c r="S10" s="247" t="e">
        <f t="shared" ref="S10:S58" si="12">(R10/($R$61-$R$60))*SUM($R$64:$R$69,$R$71:$R$72,$R$74,$R$76,$R$78,$R$60)+R10</f>
        <v>#DIV/0!</v>
      </c>
      <c r="T10" s="247" t="e">
        <f t="shared" si="5"/>
        <v>#DIV/0!</v>
      </c>
      <c r="U10" s="89"/>
      <c r="V10" s="241" t="str">
        <f t="shared" si="6"/>
        <v/>
      </c>
      <c r="W10" s="112" t="str">
        <f t="shared" ref="W10:W58" si="13">IF($E10="",$Z10,$E10)</f>
        <v/>
      </c>
      <c r="X10" s="294" t="str">
        <f>IF($F10="","",INDEX('Bobrick Material Pricing 2025'!$A$2:$C$1000,MATCH($F10,'Bobrick Material Pricing 2025'!$A$2:$A$1000,0),3))</f>
        <v/>
      </c>
      <c r="Y10" s="295" t="str">
        <f>IF($F10="","",INDEX('Bobrick Labor Factors'!$A$2:$E$556,MATCH($F10,'Bobrick Labor Factors'!$A$2:$A$556,0),5))</f>
        <v/>
      </c>
      <c r="Z10" s="239" t="str">
        <f>IF($F10="","",INDEX('Bobrick Material Pricing 2025'!$A$2:$C$1000,MATCH($F10,'Bobrick Material Pricing 2025'!$A$2:$A$1000,0),2))</f>
        <v/>
      </c>
    </row>
    <row r="11" spans="1:26" s="248" customFormat="1">
      <c r="A11" s="240">
        <v>3</v>
      </c>
      <c r="B11" s="178"/>
      <c r="C11" s="112"/>
      <c r="D11" s="261"/>
      <c r="E11" s="112"/>
      <c r="F11" s="262"/>
      <c r="G11" s="171"/>
      <c r="H11" s="171"/>
      <c r="I11" s="294">
        <f>'summary sheet'!$E$2</f>
        <v>120</v>
      </c>
      <c r="J11" s="313">
        <f t="shared" si="0"/>
        <v>0</v>
      </c>
      <c r="K11" s="241">
        <v>0</v>
      </c>
      <c r="L11" s="241">
        <v>0</v>
      </c>
      <c r="M11" s="242">
        <v>0</v>
      </c>
      <c r="N11" s="243">
        <f t="shared" si="7"/>
        <v>0</v>
      </c>
      <c r="O11" s="244">
        <f t="shared" si="8"/>
        <v>0</v>
      </c>
      <c r="P11" s="244">
        <f t="shared" si="9"/>
        <v>0</v>
      </c>
      <c r="Q11" s="245">
        <f t="shared" si="10"/>
        <v>0</v>
      </c>
      <c r="R11" s="246">
        <f t="shared" si="11"/>
        <v>0</v>
      </c>
      <c r="S11" s="247" t="e">
        <f t="shared" si="12"/>
        <v>#DIV/0!</v>
      </c>
      <c r="T11" s="247" t="e">
        <f t="shared" si="5"/>
        <v>#DIV/0!</v>
      </c>
      <c r="U11" s="89"/>
      <c r="V11" s="241" t="str">
        <f t="shared" si="6"/>
        <v/>
      </c>
      <c r="W11" s="112" t="str">
        <f t="shared" si="13"/>
        <v/>
      </c>
      <c r="X11" s="294" t="str">
        <f>IF($F11="","",INDEX('Bobrick Material Pricing 2025'!$A$2:$C$1000,MATCH($F11,'Bobrick Material Pricing 2025'!$A$2:$A$1000,0),3))</f>
        <v/>
      </c>
      <c r="Y11" s="295" t="str">
        <f>IF($F11="","",INDEX('Bobrick Labor Factors'!$A$2:$E$556,MATCH($F11,'Bobrick Labor Factors'!$A$2:$A$556,0),5))</f>
        <v/>
      </c>
      <c r="Z11" s="239" t="str">
        <f>IF($F11="","",INDEX('Bobrick Material Pricing 2025'!$A$2:$C$1000,MATCH($F11,'Bobrick Material Pricing 2025'!$A$2:$A$1000,0),2))</f>
        <v/>
      </c>
    </row>
    <row r="12" spans="1:26" s="248" customFormat="1">
      <c r="A12" s="240">
        <v>4</v>
      </c>
      <c r="B12" s="178"/>
      <c r="C12" s="112"/>
      <c r="D12" s="215"/>
      <c r="E12" s="112"/>
      <c r="F12" s="222"/>
      <c r="G12" s="178"/>
      <c r="H12" s="178"/>
      <c r="I12" s="294">
        <f>'summary sheet'!$E$2</f>
        <v>120</v>
      </c>
      <c r="J12" s="313">
        <f t="shared" ref="J12:J27" si="14">SUM(I12*H12)*G12</f>
        <v>0</v>
      </c>
      <c r="K12" s="241">
        <v>0</v>
      </c>
      <c r="L12" s="241">
        <v>0</v>
      </c>
      <c r="M12" s="242">
        <v>0</v>
      </c>
      <c r="N12" s="243">
        <f t="shared" ref="N12:N27" si="15">J12</f>
        <v>0</v>
      </c>
      <c r="O12" s="244">
        <f t="shared" ref="O12:O27" si="16">SUM(G12)*K12</f>
        <v>0</v>
      </c>
      <c r="P12" s="244">
        <f t="shared" ref="P12:P27" si="17">SUM(L12)</f>
        <v>0</v>
      </c>
      <c r="Q12" s="245">
        <f t="shared" ref="Q12:Q27" si="18">M12</f>
        <v>0</v>
      </c>
      <c r="R12" s="246">
        <f t="shared" ref="R12:R27" si="19">SUM(N12:Q12)</f>
        <v>0</v>
      </c>
      <c r="S12" s="247" t="e">
        <f t="shared" si="12"/>
        <v>#DIV/0!</v>
      </c>
      <c r="T12" s="247" t="e">
        <f t="shared" ref="T12:T27" si="20">S12/G12</f>
        <v>#DIV/0!</v>
      </c>
      <c r="U12" s="89"/>
      <c r="V12" s="241" t="str">
        <f t="shared" si="6"/>
        <v/>
      </c>
      <c r="W12" s="112" t="str">
        <f t="shared" si="13"/>
        <v/>
      </c>
      <c r="X12" s="294" t="str">
        <f>IF($F12="","",INDEX('Bobrick Material Pricing 2025'!$A$2:$C$1000,MATCH($F12,'Bobrick Material Pricing 2025'!$A$2:$A$1000,0),3))</f>
        <v/>
      </c>
      <c r="Y12" s="295" t="str">
        <f>IF($F12="","",INDEX('Bobrick Labor Factors'!$A$2:$E$556,MATCH($F12,'Bobrick Labor Factors'!$A$2:$A$556,0),5))</f>
        <v/>
      </c>
      <c r="Z12" s="239" t="str">
        <f>IF($F12="","",INDEX('Bobrick Material Pricing 2025'!$A$2:$C$1000,MATCH($F12,'Bobrick Material Pricing 2025'!$A$2:$A$1000,0),2))</f>
        <v/>
      </c>
    </row>
    <row r="13" spans="1:26" s="248" customFormat="1">
      <c r="A13" s="240">
        <v>5</v>
      </c>
      <c r="B13" s="178"/>
      <c r="C13" s="112"/>
      <c r="D13" s="215"/>
      <c r="E13" s="112"/>
      <c r="F13" s="222"/>
      <c r="G13" s="178"/>
      <c r="H13" s="178"/>
      <c r="I13" s="294">
        <f>'summary sheet'!$E$2</f>
        <v>120</v>
      </c>
      <c r="J13" s="313">
        <f t="shared" si="14"/>
        <v>0</v>
      </c>
      <c r="K13" s="241">
        <v>0</v>
      </c>
      <c r="L13" s="241">
        <v>0</v>
      </c>
      <c r="M13" s="242">
        <v>0</v>
      </c>
      <c r="N13" s="243">
        <f t="shared" si="15"/>
        <v>0</v>
      </c>
      <c r="O13" s="244">
        <f t="shared" si="16"/>
        <v>0</v>
      </c>
      <c r="P13" s="244">
        <f t="shared" si="17"/>
        <v>0</v>
      </c>
      <c r="Q13" s="245">
        <f t="shared" si="18"/>
        <v>0</v>
      </c>
      <c r="R13" s="246">
        <f t="shared" si="19"/>
        <v>0</v>
      </c>
      <c r="S13" s="247" t="e">
        <f t="shared" si="12"/>
        <v>#DIV/0!</v>
      </c>
      <c r="T13" s="247" t="e">
        <f t="shared" si="20"/>
        <v>#DIV/0!</v>
      </c>
      <c r="U13" s="89"/>
      <c r="V13" s="241" t="str">
        <f t="shared" si="6"/>
        <v/>
      </c>
      <c r="W13" s="112" t="str">
        <f t="shared" si="13"/>
        <v/>
      </c>
      <c r="X13" s="294" t="str">
        <f>IF($F13="","",INDEX('Bobrick Material Pricing 2025'!$A$2:$C$1000,MATCH($F13,'Bobrick Material Pricing 2025'!$A$2:$A$1000,0),3))</f>
        <v/>
      </c>
      <c r="Y13" s="295" t="str">
        <f>IF($F13="","",INDEX('Bobrick Labor Factors'!$A$2:$E$556,MATCH($F13,'Bobrick Labor Factors'!$A$2:$A$556,0),5))</f>
        <v/>
      </c>
      <c r="Z13" s="239" t="str">
        <f>IF($F13="","",INDEX('Bobrick Material Pricing 2025'!$A$2:$C$1000,MATCH($F13,'Bobrick Material Pricing 2025'!$A$2:$A$1000,0),2))</f>
        <v/>
      </c>
    </row>
    <row r="14" spans="1:26" s="248" customFormat="1">
      <c r="A14" s="240">
        <v>6</v>
      </c>
      <c r="B14" s="178"/>
      <c r="C14" s="112"/>
      <c r="D14" s="215"/>
      <c r="E14" s="112"/>
      <c r="F14" s="222"/>
      <c r="G14" s="178"/>
      <c r="H14" s="178"/>
      <c r="I14" s="294">
        <f>'summary sheet'!$E$2</f>
        <v>120</v>
      </c>
      <c r="J14" s="313">
        <f t="shared" si="14"/>
        <v>0</v>
      </c>
      <c r="K14" s="241">
        <v>0</v>
      </c>
      <c r="L14" s="241">
        <v>0</v>
      </c>
      <c r="M14" s="242">
        <v>0</v>
      </c>
      <c r="N14" s="243">
        <f t="shared" si="15"/>
        <v>0</v>
      </c>
      <c r="O14" s="244">
        <f t="shared" si="16"/>
        <v>0</v>
      </c>
      <c r="P14" s="244">
        <f t="shared" si="17"/>
        <v>0</v>
      </c>
      <c r="Q14" s="245">
        <f t="shared" si="18"/>
        <v>0</v>
      </c>
      <c r="R14" s="246">
        <f t="shared" si="19"/>
        <v>0</v>
      </c>
      <c r="S14" s="247" t="e">
        <f t="shared" si="12"/>
        <v>#DIV/0!</v>
      </c>
      <c r="T14" s="247" t="e">
        <f t="shared" si="20"/>
        <v>#DIV/0!</v>
      </c>
      <c r="U14" s="89"/>
      <c r="V14" s="241" t="str">
        <f t="shared" si="6"/>
        <v/>
      </c>
      <c r="W14" s="112" t="str">
        <f t="shared" si="13"/>
        <v/>
      </c>
      <c r="X14" s="294" t="str">
        <f>IF($F14="","",INDEX('Bobrick Material Pricing 2025'!$A$2:$C$1000,MATCH($F14,'Bobrick Material Pricing 2025'!$A$2:$A$1000,0),3))</f>
        <v/>
      </c>
      <c r="Y14" s="295" t="str">
        <f>IF($F14="","",INDEX('Bobrick Labor Factors'!$A$2:$E$556,MATCH($F14,'Bobrick Labor Factors'!$A$2:$A$556,0),5))</f>
        <v/>
      </c>
      <c r="Z14" s="239" t="str">
        <f>IF($F14="","",INDEX('Bobrick Material Pricing 2025'!$A$2:$C$1000,MATCH($F14,'Bobrick Material Pricing 2025'!$A$2:$A$1000,0),2))</f>
        <v/>
      </c>
    </row>
    <row r="15" spans="1:26" s="248" customFormat="1">
      <c r="A15" s="240">
        <v>7</v>
      </c>
      <c r="B15" s="178"/>
      <c r="C15" s="112"/>
      <c r="D15" s="215"/>
      <c r="E15" s="112"/>
      <c r="F15" s="222"/>
      <c r="G15" s="178"/>
      <c r="H15" s="178"/>
      <c r="I15" s="294">
        <f>'summary sheet'!$E$2</f>
        <v>120</v>
      </c>
      <c r="J15" s="313">
        <f t="shared" si="14"/>
        <v>0</v>
      </c>
      <c r="K15" s="241">
        <v>0</v>
      </c>
      <c r="L15" s="241">
        <v>0</v>
      </c>
      <c r="M15" s="242">
        <v>0</v>
      </c>
      <c r="N15" s="243">
        <f t="shared" si="15"/>
        <v>0</v>
      </c>
      <c r="O15" s="244">
        <f t="shared" si="16"/>
        <v>0</v>
      </c>
      <c r="P15" s="244">
        <f t="shared" si="17"/>
        <v>0</v>
      </c>
      <c r="Q15" s="245">
        <f t="shared" si="18"/>
        <v>0</v>
      </c>
      <c r="R15" s="246">
        <f t="shared" si="19"/>
        <v>0</v>
      </c>
      <c r="S15" s="247" t="e">
        <f t="shared" si="12"/>
        <v>#DIV/0!</v>
      </c>
      <c r="T15" s="247" t="e">
        <f t="shared" si="20"/>
        <v>#DIV/0!</v>
      </c>
      <c r="U15" s="89"/>
      <c r="V15" s="241" t="str">
        <f t="shared" si="6"/>
        <v/>
      </c>
      <c r="W15" s="112" t="str">
        <f t="shared" si="13"/>
        <v/>
      </c>
      <c r="X15" s="294" t="str">
        <f>IF($F15="","",INDEX('Bobrick Material Pricing 2025'!$A$2:$C$1000,MATCH($F15,'Bobrick Material Pricing 2025'!$A$2:$A$1000,0),3))</f>
        <v/>
      </c>
      <c r="Y15" s="295" t="str">
        <f>IF($F15="","",INDEX('Bobrick Labor Factors'!$A$2:$E$556,MATCH($F15,'Bobrick Labor Factors'!$A$2:$A$556,0),5))</f>
        <v/>
      </c>
      <c r="Z15" s="239" t="str">
        <f>IF($F15="","",INDEX('Bobrick Material Pricing 2025'!$A$2:$C$1000,MATCH($F15,'Bobrick Material Pricing 2025'!$A$2:$A$1000,0),2))</f>
        <v/>
      </c>
    </row>
    <row r="16" spans="1:26" s="248" customFormat="1">
      <c r="A16" s="240">
        <v>8</v>
      </c>
      <c r="B16" s="178"/>
      <c r="C16" s="112"/>
      <c r="D16" s="215"/>
      <c r="E16" s="112"/>
      <c r="F16" s="222"/>
      <c r="G16" s="178"/>
      <c r="H16" s="178"/>
      <c r="I16" s="294">
        <f>'summary sheet'!$E$2</f>
        <v>120</v>
      </c>
      <c r="J16" s="313">
        <f t="shared" si="14"/>
        <v>0</v>
      </c>
      <c r="K16" s="241">
        <v>0</v>
      </c>
      <c r="L16" s="241">
        <v>0</v>
      </c>
      <c r="M16" s="242">
        <v>0</v>
      </c>
      <c r="N16" s="243">
        <f t="shared" si="15"/>
        <v>0</v>
      </c>
      <c r="O16" s="244">
        <f t="shared" si="16"/>
        <v>0</v>
      </c>
      <c r="P16" s="244">
        <f t="shared" si="17"/>
        <v>0</v>
      </c>
      <c r="Q16" s="245">
        <f t="shared" si="18"/>
        <v>0</v>
      </c>
      <c r="R16" s="246">
        <f t="shared" si="19"/>
        <v>0</v>
      </c>
      <c r="S16" s="247" t="e">
        <f t="shared" si="12"/>
        <v>#DIV/0!</v>
      </c>
      <c r="T16" s="247" t="e">
        <f t="shared" si="20"/>
        <v>#DIV/0!</v>
      </c>
      <c r="U16" s="89"/>
      <c r="V16" s="241" t="str">
        <f t="shared" si="6"/>
        <v/>
      </c>
      <c r="W16" s="112" t="str">
        <f t="shared" si="13"/>
        <v/>
      </c>
      <c r="X16" s="294" t="str">
        <f>IF($F16="","",INDEX('Bobrick Material Pricing 2025'!$A$2:$C$1000,MATCH($F16,'Bobrick Material Pricing 2025'!$A$2:$A$1000,0),3))</f>
        <v/>
      </c>
      <c r="Y16" s="295" t="str">
        <f>IF($F16="","",INDEX('Bobrick Labor Factors'!$A$2:$E$556,MATCH($F16,'Bobrick Labor Factors'!$A$2:$A$556,0),5))</f>
        <v/>
      </c>
      <c r="Z16" s="239" t="str">
        <f>IF($F16="","",INDEX('Bobrick Material Pricing 2025'!$A$2:$C$1000,MATCH($F16,'Bobrick Material Pricing 2025'!$A$2:$A$1000,0),2))</f>
        <v/>
      </c>
    </row>
    <row r="17" spans="1:26" s="248" customFormat="1">
      <c r="A17" s="240">
        <v>9</v>
      </c>
      <c r="B17" s="178"/>
      <c r="C17" s="112"/>
      <c r="D17" s="215"/>
      <c r="E17" s="112"/>
      <c r="F17" s="222"/>
      <c r="G17" s="178"/>
      <c r="H17" s="178"/>
      <c r="I17" s="294">
        <f>'summary sheet'!$E$2</f>
        <v>120</v>
      </c>
      <c r="J17" s="313">
        <f t="shared" si="14"/>
        <v>0</v>
      </c>
      <c r="K17" s="241">
        <v>0</v>
      </c>
      <c r="L17" s="241">
        <v>0</v>
      </c>
      <c r="M17" s="242">
        <v>0</v>
      </c>
      <c r="N17" s="243">
        <f t="shared" si="15"/>
        <v>0</v>
      </c>
      <c r="O17" s="244">
        <f t="shared" si="16"/>
        <v>0</v>
      </c>
      <c r="P17" s="244">
        <f t="shared" si="17"/>
        <v>0</v>
      </c>
      <c r="Q17" s="245">
        <f t="shared" si="18"/>
        <v>0</v>
      </c>
      <c r="R17" s="246">
        <f t="shared" si="19"/>
        <v>0</v>
      </c>
      <c r="S17" s="247" t="e">
        <f t="shared" si="12"/>
        <v>#DIV/0!</v>
      </c>
      <c r="T17" s="247" t="e">
        <f t="shared" si="20"/>
        <v>#DIV/0!</v>
      </c>
      <c r="U17" s="89"/>
      <c r="V17" s="241" t="str">
        <f t="shared" si="6"/>
        <v/>
      </c>
      <c r="W17" s="112" t="str">
        <f t="shared" si="13"/>
        <v/>
      </c>
      <c r="X17" s="294" t="str">
        <f>IF($F17="","",INDEX('Bobrick Material Pricing 2025'!$A$2:$C$1000,MATCH($F17,'Bobrick Material Pricing 2025'!$A$2:$A$1000,0),3))</f>
        <v/>
      </c>
      <c r="Y17" s="295" t="str">
        <f>IF($F17="","",INDEX('Bobrick Labor Factors'!$A$2:$E$556,MATCH($F17,'Bobrick Labor Factors'!$A$2:$A$556,0),5))</f>
        <v/>
      </c>
      <c r="Z17" s="239" t="str">
        <f>IF($F17="","",INDEX('Bobrick Material Pricing 2025'!$A$2:$C$1000,MATCH($F17,'Bobrick Material Pricing 2025'!$A$2:$A$1000,0),2))</f>
        <v/>
      </c>
    </row>
    <row r="18" spans="1:26" s="248" customFormat="1">
      <c r="A18" s="240">
        <v>10</v>
      </c>
      <c r="B18" s="178"/>
      <c r="C18" s="112"/>
      <c r="D18" s="215"/>
      <c r="E18" s="112"/>
      <c r="F18" s="222"/>
      <c r="G18" s="178"/>
      <c r="H18" s="178"/>
      <c r="I18" s="294">
        <f>'summary sheet'!$E$2</f>
        <v>120</v>
      </c>
      <c r="J18" s="313">
        <f t="shared" si="14"/>
        <v>0</v>
      </c>
      <c r="K18" s="241">
        <v>0</v>
      </c>
      <c r="L18" s="241">
        <v>0</v>
      </c>
      <c r="M18" s="242">
        <v>0</v>
      </c>
      <c r="N18" s="243">
        <f t="shared" si="15"/>
        <v>0</v>
      </c>
      <c r="O18" s="244">
        <f t="shared" si="16"/>
        <v>0</v>
      </c>
      <c r="P18" s="244">
        <f t="shared" si="17"/>
        <v>0</v>
      </c>
      <c r="Q18" s="245">
        <f t="shared" si="18"/>
        <v>0</v>
      </c>
      <c r="R18" s="246">
        <f t="shared" si="19"/>
        <v>0</v>
      </c>
      <c r="S18" s="247" t="e">
        <f t="shared" si="12"/>
        <v>#DIV/0!</v>
      </c>
      <c r="T18" s="247" t="e">
        <f t="shared" si="20"/>
        <v>#DIV/0!</v>
      </c>
      <c r="U18" s="89"/>
      <c r="V18" s="241" t="str">
        <f t="shared" si="6"/>
        <v/>
      </c>
      <c r="W18" s="112" t="str">
        <f t="shared" si="13"/>
        <v/>
      </c>
      <c r="X18" s="294" t="str">
        <f>IF($F18="","",INDEX('Bobrick Material Pricing 2025'!$A$2:$C$1000,MATCH($F18,'Bobrick Material Pricing 2025'!$A$2:$A$1000,0),3))</f>
        <v/>
      </c>
      <c r="Y18" s="295" t="str">
        <f>IF($F18="","",INDEX('Bobrick Labor Factors'!$A$2:$E$556,MATCH($F18,'Bobrick Labor Factors'!$A$2:$A$556,0),5))</f>
        <v/>
      </c>
      <c r="Z18" s="239" t="str">
        <f>IF($F18="","",INDEX('Bobrick Material Pricing 2025'!$A$2:$C$1000,MATCH($F18,'Bobrick Material Pricing 2025'!$A$2:$A$1000,0),2))</f>
        <v/>
      </c>
    </row>
    <row r="19" spans="1:26" s="248" customFormat="1">
      <c r="A19" s="240">
        <v>11</v>
      </c>
      <c r="B19" s="178"/>
      <c r="C19" s="112"/>
      <c r="D19" s="215"/>
      <c r="E19" s="112"/>
      <c r="F19" s="222"/>
      <c r="G19" s="178"/>
      <c r="H19" s="178"/>
      <c r="I19" s="294">
        <f>'summary sheet'!$E$2</f>
        <v>120</v>
      </c>
      <c r="J19" s="313">
        <f t="shared" si="14"/>
        <v>0</v>
      </c>
      <c r="K19" s="241">
        <v>0</v>
      </c>
      <c r="L19" s="241">
        <v>0</v>
      </c>
      <c r="M19" s="242">
        <v>0</v>
      </c>
      <c r="N19" s="243">
        <f t="shared" si="15"/>
        <v>0</v>
      </c>
      <c r="O19" s="244">
        <f t="shared" si="16"/>
        <v>0</v>
      </c>
      <c r="P19" s="244">
        <f t="shared" si="17"/>
        <v>0</v>
      </c>
      <c r="Q19" s="245">
        <f t="shared" si="18"/>
        <v>0</v>
      </c>
      <c r="R19" s="246">
        <f t="shared" si="19"/>
        <v>0</v>
      </c>
      <c r="S19" s="247" t="e">
        <f t="shared" si="12"/>
        <v>#DIV/0!</v>
      </c>
      <c r="T19" s="247" t="e">
        <f t="shared" si="20"/>
        <v>#DIV/0!</v>
      </c>
      <c r="U19" s="89"/>
      <c r="V19" s="241" t="str">
        <f t="shared" si="6"/>
        <v/>
      </c>
      <c r="W19" s="112" t="str">
        <f t="shared" si="13"/>
        <v/>
      </c>
      <c r="X19" s="294" t="str">
        <f>IF($F19="","",INDEX('Bobrick Material Pricing 2025'!$A$2:$C$1000,MATCH($F19,'Bobrick Material Pricing 2025'!$A$2:$A$1000,0),3))</f>
        <v/>
      </c>
      <c r="Y19" s="295" t="str">
        <f>IF($F19="","",INDEX('Bobrick Labor Factors'!$A$2:$E$556,MATCH($F19,'Bobrick Labor Factors'!$A$2:$A$556,0),5))</f>
        <v/>
      </c>
      <c r="Z19" s="239" t="str">
        <f>IF($F19="","",INDEX('Bobrick Material Pricing 2025'!$A$2:$C$1000,MATCH($F19,'Bobrick Material Pricing 2025'!$A$2:$A$1000,0),2))</f>
        <v/>
      </c>
    </row>
    <row r="20" spans="1:26" s="248" customFormat="1">
      <c r="A20" s="240">
        <v>12</v>
      </c>
      <c r="B20" s="178"/>
      <c r="C20" s="112"/>
      <c r="D20" s="215"/>
      <c r="E20" s="112"/>
      <c r="F20" s="222"/>
      <c r="G20" s="178"/>
      <c r="H20" s="178"/>
      <c r="I20" s="294">
        <f>'summary sheet'!$E$2</f>
        <v>120</v>
      </c>
      <c r="J20" s="313">
        <f t="shared" si="14"/>
        <v>0</v>
      </c>
      <c r="K20" s="241">
        <v>0</v>
      </c>
      <c r="L20" s="241">
        <v>0</v>
      </c>
      <c r="M20" s="242">
        <v>0</v>
      </c>
      <c r="N20" s="243">
        <f t="shared" si="15"/>
        <v>0</v>
      </c>
      <c r="O20" s="244">
        <f t="shared" si="16"/>
        <v>0</v>
      </c>
      <c r="P20" s="244">
        <f t="shared" si="17"/>
        <v>0</v>
      </c>
      <c r="Q20" s="245">
        <f t="shared" si="18"/>
        <v>0</v>
      </c>
      <c r="R20" s="246">
        <f t="shared" si="19"/>
        <v>0</v>
      </c>
      <c r="S20" s="247" t="e">
        <f t="shared" si="12"/>
        <v>#DIV/0!</v>
      </c>
      <c r="T20" s="247" t="e">
        <f t="shared" si="20"/>
        <v>#DIV/0!</v>
      </c>
      <c r="U20" s="89"/>
      <c r="V20" s="241" t="str">
        <f t="shared" si="6"/>
        <v/>
      </c>
      <c r="W20" s="112" t="str">
        <f t="shared" si="13"/>
        <v/>
      </c>
      <c r="X20" s="294" t="str">
        <f>IF($F20="","",INDEX('Bobrick Material Pricing 2025'!$A$2:$C$1000,MATCH($F20,'Bobrick Material Pricing 2025'!$A$2:$A$1000,0),3))</f>
        <v/>
      </c>
      <c r="Y20" s="295" t="str">
        <f>IF($F20="","",INDEX('Bobrick Labor Factors'!$A$2:$E$556,MATCH($F20,'Bobrick Labor Factors'!$A$2:$A$556,0),5))</f>
        <v/>
      </c>
      <c r="Z20" s="239" t="str">
        <f>IF($F20="","",INDEX('Bobrick Material Pricing 2025'!$A$2:$C$1000,MATCH($F20,'Bobrick Material Pricing 2025'!$A$2:$A$1000,0),2))</f>
        <v/>
      </c>
    </row>
    <row r="21" spans="1:26" s="248" customFormat="1">
      <c r="A21" s="240">
        <v>13</v>
      </c>
      <c r="B21" s="178"/>
      <c r="C21" s="112"/>
      <c r="D21" s="215"/>
      <c r="E21" s="112"/>
      <c r="F21" s="222"/>
      <c r="G21" s="178"/>
      <c r="H21" s="178"/>
      <c r="I21" s="294">
        <f>'summary sheet'!$E$2</f>
        <v>120</v>
      </c>
      <c r="J21" s="313">
        <f t="shared" si="14"/>
        <v>0</v>
      </c>
      <c r="K21" s="241">
        <v>0</v>
      </c>
      <c r="L21" s="241">
        <v>0</v>
      </c>
      <c r="M21" s="242">
        <v>0</v>
      </c>
      <c r="N21" s="243">
        <f t="shared" si="15"/>
        <v>0</v>
      </c>
      <c r="O21" s="244">
        <f t="shared" si="16"/>
        <v>0</v>
      </c>
      <c r="P21" s="244">
        <f t="shared" si="17"/>
        <v>0</v>
      </c>
      <c r="Q21" s="245">
        <f t="shared" si="18"/>
        <v>0</v>
      </c>
      <c r="R21" s="246">
        <f t="shared" si="19"/>
        <v>0</v>
      </c>
      <c r="S21" s="247" t="e">
        <f t="shared" si="12"/>
        <v>#DIV/0!</v>
      </c>
      <c r="T21" s="247" t="e">
        <f t="shared" si="20"/>
        <v>#DIV/0!</v>
      </c>
      <c r="U21" s="89"/>
      <c r="V21" s="241" t="str">
        <f t="shared" si="6"/>
        <v/>
      </c>
      <c r="W21" s="112" t="str">
        <f t="shared" si="13"/>
        <v/>
      </c>
      <c r="X21" s="294" t="str">
        <f>IF($F21="","",INDEX('Bobrick Material Pricing 2025'!$A$2:$C$1000,MATCH($F21,'Bobrick Material Pricing 2025'!$A$2:$A$1000,0),3))</f>
        <v/>
      </c>
      <c r="Y21" s="295" t="str">
        <f>IF($F21="","",INDEX('Bobrick Labor Factors'!$A$2:$E$556,MATCH($F21,'Bobrick Labor Factors'!$A$2:$A$556,0),5))</f>
        <v/>
      </c>
      <c r="Z21" s="239" t="str">
        <f>IF($F21="","",INDEX('Bobrick Material Pricing 2025'!$A$2:$C$1000,MATCH($F21,'Bobrick Material Pricing 2025'!$A$2:$A$1000,0),2))</f>
        <v/>
      </c>
    </row>
    <row r="22" spans="1:26" s="248" customFormat="1">
      <c r="A22" s="240">
        <v>14</v>
      </c>
      <c r="B22" s="178"/>
      <c r="C22" s="112"/>
      <c r="D22" s="215"/>
      <c r="E22" s="112"/>
      <c r="F22" s="222"/>
      <c r="G22" s="178"/>
      <c r="H22" s="178"/>
      <c r="I22" s="294">
        <f>'summary sheet'!$E$2</f>
        <v>120</v>
      </c>
      <c r="J22" s="313">
        <f t="shared" si="14"/>
        <v>0</v>
      </c>
      <c r="K22" s="241">
        <v>0</v>
      </c>
      <c r="L22" s="241">
        <v>0</v>
      </c>
      <c r="M22" s="242">
        <v>0</v>
      </c>
      <c r="N22" s="243">
        <f t="shared" si="15"/>
        <v>0</v>
      </c>
      <c r="O22" s="244">
        <f t="shared" si="16"/>
        <v>0</v>
      </c>
      <c r="P22" s="244">
        <f t="shared" si="17"/>
        <v>0</v>
      </c>
      <c r="Q22" s="245">
        <f t="shared" si="18"/>
        <v>0</v>
      </c>
      <c r="R22" s="246">
        <f t="shared" si="19"/>
        <v>0</v>
      </c>
      <c r="S22" s="247" t="e">
        <f t="shared" si="12"/>
        <v>#DIV/0!</v>
      </c>
      <c r="T22" s="247" t="e">
        <f t="shared" si="20"/>
        <v>#DIV/0!</v>
      </c>
      <c r="U22" s="89"/>
      <c r="V22" s="241" t="str">
        <f t="shared" si="6"/>
        <v/>
      </c>
      <c r="W22" s="112" t="str">
        <f t="shared" si="13"/>
        <v/>
      </c>
      <c r="X22" s="294" t="str">
        <f>IF($F22="","",INDEX('Bobrick Material Pricing 2025'!$A$2:$C$1000,MATCH($F22,'Bobrick Material Pricing 2025'!$A$2:$A$1000,0),3))</f>
        <v/>
      </c>
      <c r="Y22" s="295" t="str">
        <f>IF($F22="","",INDEX('Bobrick Labor Factors'!$A$2:$E$556,MATCH($F22,'Bobrick Labor Factors'!$A$2:$A$556,0),5))</f>
        <v/>
      </c>
      <c r="Z22" s="239" t="str">
        <f>IF($F22="","",INDEX('Bobrick Material Pricing 2025'!$A$2:$C$1000,MATCH($F22,'Bobrick Material Pricing 2025'!$A$2:$A$1000,0),2))</f>
        <v/>
      </c>
    </row>
    <row r="23" spans="1:26" s="248" customFormat="1">
      <c r="A23" s="240">
        <v>15</v>
      </c>
      <c r="B23" s="178"/>
      <c r="C23" s="112"/>
      <c r="D23" s="215"/>
      <c r="E23" s="112"/>
      <c r="F23" s="222"/>
      <c r="G23" s="178"/>
      <c r="H23" s="178"/>
      <c r="I23" s="294">
        <f>'summary sheet'!$E$2</f>
        <v>120</v>
      </c>
      <c r="J23" s="313">
        <f t="shared" si="14"/>
        <v>0</v>
      </c>
      <c r="K23" s="241">
        <v>0</v>
      </c>
      <c r="L23" s="241">
        <v>0</v>
      </c>
      <c r="M23" s="242">
        <v>0</v>
      </c>
      <c r="N23" s="243">
        <f t="shared" si="15"/>
        <v>0</v>
      </c>
      <c r="O23" s="244">
        <f t="shared" si="16"/>
        <v>0</v>
      </c>
      <c r="P23" s="244">
        <f t="shared" si="17"/>
        <v>0</v>
      </c>
      <c r="Q23" s="245">
        <f t="shared" si="18"/>
        <v>0</v>
      </c>
      <c r="R23" s="246">
        <f t="shared" si="19"/>
        <v>0</v>
      </c>
      <c r="S23" s="247" t="e">
        <f t="shared" si="12"/>
        <v>#DIV/0!</v>
      </c>
      <c r="T23" s="247" t="e">
        <f t="shared" si="20"/>
        <v>#DIV/0!</v>
      </c>
      <c r="U23" s="89"/>
      <c r="V23" s="241" t="str">
        <f t="shared" si="6"/>
        <v/>
      </c>
      <c r="W23" s="112" t="str">
        <f t="shared" si="13"/>
        <v/>
      </c>
      <c r="X23" s="294" t="str">
        <f>IF($F23="","",INDEX('Bobrick Material Pricing 2025'!$A$2:$C$1000,MATCH($F23,'Bobrick Material Pricing 2025'!$A$2:$A$1000,0),3))</f>
        <v/>
      </c>
      <c r="Y23" s="295" t="str">
        <f>IF($F23="","",INDEX('Bobrick Labor Factors'!$A$2:$E$556,MATCH($F23,'Bobrick Labor Factors'!$A$2:$A$556,0),5))</f>
        <v/>
      </c>
      <c r="Z23" s="239" t="str">
        <f>IF($F23="","",INDEX('Bobrick Material Pricing 2025'!$A$2:$C$1000,MATCH($F23,'Bobrick Material Pricing 2025'!$A$2:$A$1000,0),2))</f>
        <v/>
      </c>
    </row>
    <row r="24" spans="1:26" s="248" customFormat="1" ht="12.75" customHeight="1">
      <c r="A24" s="240">
        <v>16</v>
      </c>
      <c r="B24" s="178"/>
      <c r="C24" s="112"/>
      <c r="D24" s="215"/>
      <c r="E24" s="112"/>
      <c r="F24" s="222"/>
      <c r="G24" s="178"/>
      <c r="H24" s="178"/>
      <c r="I24" s="294">
        <f>'summary sheet'!$E$2</f>
        <v>120</v>
      </c>
      <c r="J24" s="313">
        <f t="shared" si="14"/>
        <v>0</v>
      </c>
      <c r="K24" s="241">
        <v>0</v>
      </c>
      <c r="L24" s="241">
        <v>0</v>
      </c>
      <c r="M24" s="242">
        <v>0</v>
      </c>
      <c r="N24" s="243">
        <f t="shared" si="15"/>
        <v>0</v>
      </c>
      <c r="O24" s="244">
        <f t="shared" si="16"/>
        <v>0</v>
      </c>
      <c r="P24" s="244">
        <f t="shared" si="17"/>
        <v>0</v>
      </c>
      <c r="Q24" s="245">
        <f t="shared" si="18"/>
        <v>0</v>
      </c>
      <c r="R24" s="246">
        <f t="shared" si="19"/>
        <v>0</v>
      </c>
      <c r="S24" s="247" t="e">
        <f t="shared" si="12"/>
        <v>#DIV/0!</v>
      </c>
      <c r="T24" s="247" t="e">
        <f t="shared" si="20"/>
        <v>#DIV/0!</v>
      </c>
      <c r="U24" s="89"/>
      <c r="V24" s="241" t="str">
        <f t="shared" si="6"/>
        <v/>
      </c>
      <c r="W24" s="112" t="str">
        <f t="shared" si="13"/>
        <v/>
      </c>
      <c r="X24" s="294" t="str">
        <f>IF($F24="","",INDEX('Bobrick Material Pricing 2025'!$A$2:$C$1000,MATCH($F24,'Bobrick Material Pricing 2025'!$A$2:$A$1000,0),3))</f>
        <v/>
      </c>
      <c r="Y24" s="295" t="str">
        <f>IF($F24="","",INDEX('Bobrick Labor Factors'!$A$2:$E$556,MATCH($F24,'Bobrick Labor Factors'!$A$2:$A$556,0),5))</f>
        <v/>
      </c>
      <c r="Z24" s="239" t="str">
        <f>IF($F24="","",INDEX('Bobrick Material Pricing 2025'!$A$2:$C$1000,MATCH($F24,'Bobrick Material Pricing 2025'!$A$2:$A$1000,0),2))</f>
        <v/>
      </c>
    </row>
    <row r="25" spans="1:26" s="248" customFormat="1" ht="12.75" customHeight="1">
      <c r="A25" s="240">
        <v>17</v>
      </c>
      <c r="B25" s="178"/>
      <c r="C25" s="112"/>
      <c r="D25" s="215"/>
      <c r="E25" s="112"/>
      <c r="F25" s="222"/>
      <c r="G25" s="178"/>
      <c r="H25" s="178"/>
      <c r="I25" s="294">
        <f>'summary sheet'!$E$2</f>
        <v>120</v>
      </c>
      <c r="J25" s="313">
        <f t="shared" si="14"/>
        <v>0</v>
      </c>
      <c r="K25" s="241">
        <v>0</v>
      </c>
      <c r="L25" s="241">
        <v>0</v>
      </c>
      <c r="M25" s="242">
        <v>0</v>
      </c>
      <c r="N25" s="243">
        <f t="shared" si="15"/>
        <v>0</v>
      </c>
      <c r="O25" s="244">
        <f t="shared" si="16"/>
        <v>0</v>
      </c>
      <c r="P25" s="244">
        <f t="shared" si="17"/>
        <v>0</v>
      </c>
      <c r="Q25" s="245">
        <f t="shared" si="18"/>
        <v>0</v>
      </c>
      <c r="R25" s="246">
        <f t="shared" si="19"/>
        <v>0</v>
      </c>
      <c r="S25" s="247" t="e">
        <f t="shared" si="12"/>
        <v>#DIV/0!</v>
      </c>
      <c r="T25" s="247" t="e">
        <f t="shared" si="20"/>
        <v>#DIV/0!</v>
      </c>
      <c r="U25" s="89"/>
      <c r="V25" s="241" t="str">
        <f t="shared" si="6"/>
        <v/>
      </c>
      <c r="W25" s="112" t="str">
        <f t="shared" si="13"/>
        <v/>
      </c>
      <c r="X25" s="294" t="str">
        <f>IF($F25="","",INDEX('Bobrick Material Pricing 2025'!$A$2:$C$1000,MATCH($F25,'Bobrick Material Pricing 2025'!$A$2:$A$1000,0),3))</f>
        <v/>
      </c>
      <c r="Y25" s="295" t="str">
        <f>IF($F25="","",INDEX('Bobrick Labor Factors'!$A$2:$E$556,MATCH($F25,'Bobrick Labor Factors'!$A$2:$A$556,0),5))</f>
        <v/>
      </c>
      <c r="Z25" s="239" t="str">
        <f>IF($F25="","",INDEX('Bobrick Material Pricing 2025'!$A$2:$C$1000,MATCH($F25,'Bobrick Material Pricing 2025'!$A$2:$A$1000,0),2))</f>
        <v/>
      </c>
    </row>
    <row r="26" spans="1:26" s="248" customFormat="1" ht="12.75" customHeight="1">
      <c r="A26" s="240">
        <v>18</v>
      </c>
      <c r="B26" s="178"/>
      <c r="C26" s="112"/>
      <c r="D26" s="215"/>
      <c r="E26" s="112"/>
      <c r="F26" s="222"/>
      <c r="G26" s="178"/>
      <c r="H26" s="178"/>
      <c r="I26" s="294">
        <f>'summary sheet'!$E$2</f>
        <v>120</v>
      </c>
      <c r="J26" s="313">
        <f t="shared" si="14"/>
        <v>0</v>
      </c>
      <c r="K26" s="241">
        <v>0</v>
      </c>
      <c r="L26" s="241">
        <v>0</v>
      </c>
      <c r="M26" s="242">
        <v>0</v>
      </c>
      <c r="N26" s="243">
        <f t="shared" si="15"/>
        <v>0</v>
      </c>
      <c r="O26" s="244">
        <f t="shared" si="16"/>
        <v>0</v>
      </c>
      <c r="P26" s="244">
        <f t="shared" si="17"/>
        <v>0</v>
      </c>
      <c r="Q26" s="245">
        <f t="shared" si="18"/>
        <v>0</v>
      </c>
      <c r="R26" s="246">
        <f t="shared" si="19"/>
        <v>0</v>
      </c>
      <c r="S26" s="247" t="e">
        <f t="shared" si="12"/>
        <v>#DIV/0!</v>
      </c>
      <c r="T26" s="247" t="e">
        <f t="shared" si="20"/>
        <v>#DIV/0!</v>
      </c>
      <c r="U26" s="89"/>
      <c r="V26" s="241" t="str">
        <f t="shared" si="6"/>
        <v/>
      </c>
      <c r="W26" s="112" t="str">
        <f t="shared" si="13"/>
        <v/>
      </c>
      <c r="X26" s="294" t="str">
        <f>IF($F26="","",INDEX('Bobrick Material Pricing 2025'!$A$2:$C$1000,MATCH($F26,'Bobrick Material Pricing 2025'!$A$2:$A$1000,0),3))</f>
        <v/>
      </c>
      <c r="Y26" s="295" t="str">
        <f>IF($F26="","",INDEX('Bobrick Labor Factors'!$A$2:$E$556,MATCH($F26,'Bobrick Labor Factors'!$A$2:$A$556,0),5))</f>
        <v/>
      </c>
      <c r="Z26" s="239" t="str">
        <f>IF($F26="","",INDEX('Bobrick Material Pricing 2025'!$A$2:$C$1000,MATCH($F26,'Bobrick Material Pricing 2025'!$A$2:$A$1000,0),2))</f>
        <v/>
      </c>
    </row>
    <row r="27" spans="1:26" s="248" customFormat="1" ht="12.75" customHeight="1">
      <c r="A27" s="240">
        <v>19</v>
      </c>
      <c r="B27" s="178"/>
      <c r="C27" s="112"/>
      <c r="D27" s="215"/>
      <c r="E27" s="112"/>
      <c r="F27" s="222"/>
      <c r="G27" s="178"/>
      <c r="H27" s="178"/>
      <c r="I27" s="294">
        <f>'summary sheet'!$E$2</f>
        <v>120</v>
      </c>
      <c r="J27" s="313">
        <f t="shared" si="14"/>
        <v>0</v>
      </c>
      <c r="K27" s="241">
        <v>0</v>
      </c>
      <c r="L27" s="241">
        <v>0</v>
      </c>
      <c r="M27" s="242">
        <v>0</v>
      </c>
      <c r="N27" s="243">
        <f t="shared" si="15"/>
        <v>0</v>
      </c>
      <c r="O27" s="244">
        <f t="shared" si="16"/>
        <v>0</v>
      </c>
      <c r="P27" s="244">
        <f t="shared" si="17"/>
        <v>0</v>
      </c>
      <c r="Q27" s="245">
        <f t="shared" si="18"/>
        <v>0</v>
      </c>
      <c r="R27" s="246">
        <f t="shared" si="19"/>
        <v>0</v>
      </c>
      <c r="S27" s="247" t="e">
        <f t="shared" si="12"/>
        <v>#DIV/0!</v>
      </c>
      <c r="T27" s="247" t="e">
        <f t="shared" si="20"/>
        <v>#DIV/0!</v>
      </c>
      <c r="U27" s="89"/>
      <c r="V27" s="241" t="str">
        <f t="shared" si="6"/>
        <v/>
      </c>
      <c r="W27" s="112" t="str">
        <f t="shared" si="13"/>
        <v/>
      </c>
      <c r="X27" s="294" t="str">
        <f>IF($F27="","",INDEX('Bobrick Material Pricing 2025'!$A$2:$C$1000,MATCH($F27,'Bobrick Material Pricing 2025'!$A$2:$A$1000,0),3))</f>
        <v/>
      </c>
      <c r="Y27" s="295" t="str">
        <f>IF($F27="","",INDEX('Bobrick Labor Factors'!$A$2:$E$556,MATCH($F27,'Bobrick Labor Factors'!$A$2:$A$556,0),5))</f>
        <v/>
      </c>
      <c r="Z27" s="239" t="str">
        <f>IF($F27="","",INDEX('Bobrick Material Pricing 2025'!$A$2:$C$1000,MATCH($F27,'Bobrick Material Pricing 2025'!$A$2:$A$1000,0),2))</f>
        <v/>
      </c>
    </row>
    <row r="28" spans="1:26" s="248" customFormat="1" ht="12.75" customHeight="1">
      <c r="A28" s="240">
        <v>20</v>
      </c>
      <c r="B28" s="178"/>
      <c r="C28" s="112"/>
      <c r="D28" s="215"/>
      <c r="E28" s="112"/>
      <c r="F28" s="222"/>
      <c r="G28" s="178"/>
      <c r="H28" s="178"/>
      <c r="I28" s="294">
        <f>'summary sheet'!$E$2</f>
        <v>120</v>
      </c>
      <c r="J28" s="313">
        <f t="shared" si="0"/>
        <v>0</v>
      </c>
      <c r="K28" s="241">
        <v>0</v>
      </c>
      <c r="L28" s="241">
        <v>0</v>
      </c>
      <c r="M28" s="242">
        <v>0</v>
      </c>
      <c r="N28" s="243">
        <f t="shared" si="7"/>
        <v>0</v>
      </c>
      <c r="O28" s="244">
        <f t="shared" si="8"/>
        <v>0</v>
      </c>
      <c r="P28" s="244">
        <f t="shared" si="9"/>
        <v>0</v>
      </c>
      <c r="Q28" s="245">
        <f t="shared" si="10"/>
        <v>0</v>
      </c>
      <c r="R28" s="246">
        <f t="shared" si="11"/>
        <v>0</v>
      </c>
      <c r="S28" s="247" t="e">
        <f t="shared" si="12"/>
        <v>#DIV/0!</v>
      </c>
      <c r="T28" s="247" t="e">
        <f t="shared" si="5"/>
        <v>#DIV/0!</v>
      </c>
      <c r="U28" s="89"/>
      <c r="V28" s="241" t="str">
        <f t="shared" si="6"/>
        <v/>
      </c>
      <c r="W28" s="112" t="str">
        <f t="shared" si="13"/>
        <v/>
      </c>
      <c r="X28" s="294" t="str">
        <f>IF($F28="","",INDEX('Bobrick Material Pricing 2025'!$A$2:$C$1000,MATCH($F28,'Bobrick Material Pricing 2025'!$A$2:$A$1000,0),3))</f>
        <v/>
      </c>
      <c r="Y28" s="295" t="str">
        <f>IF($F28="","",INDEX('Bobrick Labor Factors'!$A$2:$E$556,MATCH($F28,'Bobrick Labor Factors'!$A$2:$A$556,0),5))</f>
        <v/>
      </c>
      <c r="Z28" s="239" t="str">
        <f>IF($F28="","",INDEX('Bobrick Material Pricing 2025'!$A$2:$C$1000,MATCH($F28,'Bobrick Material Pricing 2025'!$A$2:$A$1000,0),2))</f>
        <v/>
      </c>
    </row>
    <row r="29" spans="1:26" s="248" customFormat="1" ht="12.75" customHeight="1">
      <c r="A29" s="240">
        <v>21</v>
      </c>
      <c r="B29" s="178"/>
      <c r="C29" s="112"/>
      <c r="D29" s="215"/>
      <c r="E29" s="112"/>
      <c r="F29" s="222"/>
      <c r="G29" s="178"/>
      <c r="H29" s="178"/>
      <c r="I29" s="294">
        <f>'summary sheet'!$E$2</f>
        <v>120</v>
      </c>
      <c r="J29" s="313">
        <f t="shared" si="0"/>
        <v>0</v>
      </c>
      <c r="K29" s="241">
        <v>0</v>
      </c>
      <c r="L29" s="241">
        <v>0</v>
      </c>
      <c r="M29" s="242">
        <v>0</v>
      </c>
      <c r="N29" s="243">
        <f t="shared" si="7"/>
        <v>0</v>
      </c>
      <c r="O29" s="244">
        <f t="shared" si="8"/>
        <v>0</v>
      </c>
      <c r="P29" s="244">
        <f t="shared" si="9"/>
        <v>0</v>
      </c>
      <c r="Q29" s="245">
        <f t="shared" si="10"/>
        <v>0</v>
      </c>
      <c r="R29" s="246">
        <f t="shared" si="11"/>
        <v>0</v>
      </c>
      <c r="S29" s="247" t="e">
        <f t="shared" si="12"/>
        <v>#DIV/0!</v>
      </c>
      <c r="T29" s="247" t="e">
        <f t="shared" si="5"/>
        <v>#DIV/0!</v>
      </c>
      <c r="U29" s="89"/>
      <c r="V29" s="241" t="str">
        <f t="shared" si="6"/>
        <v/>
      </c>
      <c r="W29" s="112" t="str">
        <f t="shared" si="13"/>
        <v/>
      </c>
      <c r="X29" s="294" t="str">
        <f>IF($F29="","",INDEX('Bobrick Material Pricing 2025'!$A$2:$C$1000,MATCH($F29,'Bobrick Material Pricing 2025'!$A$2:$A$1000,0),3))</f>
        <v/>
      </c>
      <c r="Y29" s="295" t="str">
        <f>IF($F29="","",INDEX('Bobrick Labor Factors'!$A$2:$E$556,MATCH($F29,'Bobrick Labor Factors'!$A$2:$A$556,0),5))</f>
        <v/>
      </c>
      <c r="Z29" s="239" t="str">
        <f>IF($F29="","",INDEX('Bobrick Material Pricing 2025'!$A$2:$C$1000,MATCH($F29,'Bobrick Material Pricing 2025'!$A$2:$A$1000,0),2))</f>
        <v/>
      </c>
    </row>
    <row r="30" spans="1:26" s="248" customFormat="1" ht="12.75" customHeight="1">
      <c r="A30" s="240">
        <v>22</v>
      </c>
      <c r="B30" s="178"/>
      <c r="C30" s="112"/>
      <c r="D30" s="215"/>
      <c r="E30" s="112"/>
      <c r="F30" s="222"/>
      <c r="G30" s="178"/>
      <c r="H30" s="178"/>
      <c r="I30" s="294">
        <f>'summary sheet'!$E$2</f>
        <v>120</v>
      </c>
      <c r="J30" s="313">
        <f t="shared" ref="J30:J43" si="21">SUM(I30*H30)*G30</f>
        <v>0</v>
      </c>
      <c r="K30" s="241">
        <v>0</v>
      </c>
      <c r="L30" s="241">
        <v>0</v>
      </c>
      <c r="M30" s="242">
        <v>0</v>
      </c>
      <c r="N30" s="243">
        <f t="shared" ref="N30:N43" si="22">J30</f>
        <v>0</v>
      </c>
      <c r="O30" s="244">
        <f t="shared" ref="O30:O43" si="23">SUM(G30)*K30</f>
        <v>0</v>
      </c>
      <c r="P30" s="244">
        <f t="shared" ref="P30:P43" si="24">SUM(L30)</f>
        <v>0</v>
      </c>
      <c r="Q30" s="245">
        <f t="shared" ref="Q30:Q43" si="25">M30</f>
        <v>0</v>
      </c>
      <c r="R30" s="246">
        <f t="shared" ref="R30:R43" si="26">SUM(N30:Q30)</f>
        <v>0</v>
      </c>
      <c r="S30" s="247" t="e">
        <f t="shared" si="12"/>
        <v>#DIV/0!</v>
      </c>
      <c r="T30" s="247" t="e">
        <f t="shared" ref="T30:T43" si="27">S30/G30</f>
        <v>#DIV/0!</v>
      </c>
      <c r="U30" s="89"/>
      <c r="V30" s="241" t="str">
        <f t="shared" si="6"/>
        <v/>
      </c>
      <c r="W30" s="112" t="str">
        <f t="shared" si="13"/>
        <v/>
      </c>
      <c r="X30" s="294" t="str">
        <f>IF($F30="","",INDEX('Bobrick Material Pricing 2025'!$A$2:$C$1000,MATCH($F30,'Bobrick Material Pricing 2025'!$A$2:$A$1000,0),3))</f>
        <v/>
      </c>
      <c r="Y30" s="295" t="str">
        <f>IF($F30="","",INDEX('Bobrick Labor Factors'!$A$2:$E$556,MATCH($F30,'Bobrick Labor Factors'!$A$2:$A$556,0),5))</f>
        <v/>
      </c>
      <c r="Z30" s="239" t="str">
        <f>IF($F30="","",INDEX('Bobrick Material Pricing 2025'!$A$2:$C$1000,MATCH($F30,'Bobrick Material Pricing 2025'!$A$2:$A$1000,0),2))</f>
        <v/>
      </c>
    </row>
    <row r="31" spans="1:26" s="248" customFormat="1" ht="12.75" customHeight="1">
      <c r="A31" s="240">
        <v>23</v>
      </c>
      <c r="B31" s="178"/>
      <c r="C31" s="112"/>
      <c r="D31" s="215"/>
      <c r="E31" s="112"/>
      <c r="F31" s="222"/>
      <c r="G31" s="178"/>
      <c r="H31" s="178"/>
      <c r="I31" s="294">
        <f>'summary sheet'!$E$2</f>
        <v>120</v>
      </c>
      <c r="J31" s="313">
        <f t="shared" si="21"/>
        <v>0</v>
      </c>
      <c r="K31" s="241">
        <v>0</v>
      </c>
      <c r="L31" s="241">
        <v>0</v>
      </c>
      <c r="M31" s="242">
        <v>0</v>
      </c>
      <c r="N31" s="243">
        <f t="shared" si="22"/>
        <v>0</v>
      </c>
      <c r="O31" s="244">
        <f t="shared" si="23"/>
        <v>0</v>
      </c>
      <c r="P31" s="244">
        <f t="shared" si="24"/>
        <v>0</v>
      </c>
      <c r="Q31" s="245">
        <f t="shared" si="25"/>
        <v>0</v>
      </c>
      <c r="R31" s="246">
        <f t="shared" si="26"/>
        <v>0</v>
      </c>
      <c r="S31" s="247" t="e">
        <f t="shared" si="12"/>
        <v>#DIV/0!</v>
      </c>
      <c r="T31" s="247" t="e">
        <f t="shared" si="27"/>
        <v>#DIV/0!</v>
      </c>
      <c r="U31" s="89"/>
      <c r="V31" s="241" t="str">
        <f t="shared" si="6"/>
        <v/>
      </c>
      <c r="W31" s="112" t="str">
        <f t="shared" si="13"/>
        <v/>
      </c>
      <c r="X31" s="294" t="str">
        <f>IF($F31="","",INDEX('Bobrick Material Pricing 2025'!$A$2:$C$1000,MATCH($F31,'Bobrick Material Pricing 2025'!$A$2:$A$1000,0),3))</f>
        <v/>
      </c>
      <c r="Y31" s="295" t="str">
        <f>IF($F31="","",INDEX('Bobrick Labor Factors'!$A$2:$E$556,MATCH($F31,'Bobrick Labor Factors'!$A$2:$A$556,0),5))</f>
        <v/>
      </c>
      <c r="Z31" s="239" t="str">
        <f>IF($F31="","",INDEX('Bobrick Material Pricing 2025'!$A$2:$C$1000,MATCH($F31,'Bobrick Material Pricing 2025'!$A$2:$A$1000,0),2))</f>
        <v/>
      </c>
    </row>
    <row r="32" spans="1:26" s="248" customFormat="1" ht="12.75" customHeight="1">
      <c r="A32" s="240">
        <v>24</v>
      </c>
      <c r="B32" s="178"/>
      <c r="C32" s="112"/>
      <c r="D32" s="215"/>
      <c r="E32" s="112"/>
      <c r="F32" s="222"/>
      <c r="G32" s="178"/>
      <c r="H32" s="178"/>
      <c r="I32" s="294">
        <f>'summary sheet'!$E$2</f>
        <v>120</v>
      </c>
      <c r="J32" s="313">
        <f t="shared" si="21"/>
        <v>0</v>
      </c>
      <c r="K32" s="241">
        <v>0</v>
      </c>
      <c r="L32" s="241">
        <v>0</v>
      </c>
      <c r="M32" s="242">
        <v>0</v>
      </c>
      <c r="N32" s="243">
        <f t="shared" si="22"/>
        <v>0</v>
      </c>
      <c r="O32" s="244">
        <f t="shared" si="23"/>
        <v>0</v>
      </c>
      <c r="P32" s="244">
        <f t="shared" si="24"/>
        <v>0</v>
      </c>
      <c r="Q32" s="245">
        <f t="shared" si="25"/>
        <v>0</v>
      </c>
      <c r="R32" s="246">
        <f t="shared" si="26"/>
        <v>0</v>
      </c>
      <c r="S32" s="247" t="e">
        <f t="shared" si="12"/>
        <v>#DIV/0!</v>
      </c>
      <c r="T32" s="247" t="e">
        <f t="shared" si="27"/>
        <v>#DIV/0!</v>
      </c>
      <c r="U32" s="89"/>
      <c r="V32" s="241" t="str">
        <f t="shared" si="6"/>
        <v/>
      </c>
      <c r="W32" s="112" t="str">
        <f t="shared" si="13"/>
        <v/>
      </c>
      <c r="X32" s="294" t="str">
        <f>IF($F32="","",INDEX('Bobrick Material Pricing 2025'!$A$2:$C$1000,MATCH($F32,'Bobrick Material Pricing 2025'!$A$2:$A$1000,0),3))</f>
        <v/>
      </c>
      <c r="Y32" s="295" t="str">
        <f>IF($F32="","",INDEX('Bobrick Labor Factors'!$A$2:$E$556,MATCH($F32,'Bobrick Labor Factors'!$A$2:$A$556,0),5))</f>
        <v/>
      </c>
      <c r="Z32" s="239" t="str">
        <f>IF($F32="","",INDEX('Bobrick Material Pricing 2025'!$A$2:$C$1000,MATCH($F32,'Bobrick Material Pricing 2025'!$A$2:$A$1000,0),2))</f>
        <v/>
      </c>
    </row>
    <row r="33" spans="1:26" s="248" customFormat="1" ht="12.75" customHeight="1">
      <c r="A33" s="240">
        <v>25</v>
      </c>
      <c r="B33" s="178"/>
      <c r="C33" s="112"/>
      <c r="D33" s="215"/>
      <c r="E33" s="112"/>
      <c r="F33" s="222"/>
      <c r="G33" s="178"/>
      <c r="H33" s="178"/>
      <c r="I33" s="294">
        <f>'summary sheet'!$E$2</f>
        <v>120</v>
      </c>
      <c r="J33" s="313">
        <f t="shared" si="21"/>
        <v>0</v>
      </c>
      <c r="K33" s="241">
        <v>0</v>
      </c>
      <c r="L33" s="241">
        <v>0</v>
      </c>
      <c r="M33" s="242">
        <v>0</v>
      </c>
      <c r="N33" s="243">
        <f t="shared" si="22"/>
        <v>0</v>
      </c>
      <c r="O33" s="244">
        <f t="shared" si="23"/>
        <v>0</v>
      </c>
      <c r="P33" s="244">
        <f t="shared" si="24"/>
        <v>0</v>
      </c>
      <c r="Q33" s="245">
        <f t="shared" si="25"/>
        <v>0</v>
      </c>
      <c r="R33" s="246">
        <f t="shared" si="26"/>
        <v>0</v>
      </c>
      <c r="S33" s="247" t="e">
        <f t="shared" si="12"/>
        <v>#DIV/0!</v>
      </c>
      <c r="T33" s="247" t="e">
        <f t="shared" si="27"/>
        <v>#DIV/0!</v>
      </c>
      <c r="U33" s="89"/>
      <c r="V33" s="241" t="str">
        <f t="shared" si="6"/>
        <v/>
      </c>
      <c r="W33" s="112" t="str">
        <f t="shared" si="13"/>
        <v/>
      </c>
      <c r="X33" s="294" t="str">
        <f>IF($F33="","",INDEX('Bobrick Material Pricing 2025'!$A$2:$C$1000,MATCH($F33,'Bobrick Material Pricing 2025'!$A$2:$A$1000,0),3))</f>
        <v/>
      </c>
      <c r="Y33" s="295" t="str">
        <f>IF($F33="","",INDEX('Bobrick Labor Factors'!$A$2:$E$556,MATCH($F33,'Bobrick Labor Factors'!$A$2:$A$556,0),5))</f>
        <v/>
      </c>
      <c r="Z33" s="239" t="str">
        <f>IF($F33="","",INDEX('Bobrick Material Pricing 2025'!$A$2:$C$1000,MATCH($F33,'Bobrick Material Pricing 2025'!$A$2:$A$1000,0),2))</f>
        <v/>
      </c>
    </row>
    <row r="34" spans="1:26" s="248" customFormat="1" ht="12.75" customHeight="1">
      <c r="A34" s="240">
        <v>26</v>
      </c>
      <c r="B34" s="178"/>
      <c r="C34" s="112"/>
      <c r="D34" s="215"/>
      <c r="E34" s="112"/>
      <c r="F34" s="222"/>
      <c r="G34" s="178"/>
      <c r="H34" s="178"/>
      <c r="I34" s="294">
        <f>'summary sheet'!$E$2</f>
        <v>120</v>
      </c>
      <c r="J34" s="313">
        <f t="shared" si="21"/>
        <v>0</v>
      </c>
      <c r="K34" s="241">
        <v>0</v>
      </c>
      <c r="L34" s="241">
        <v>0</v>
      </c>
      <c r="M34" s="242">
        <v>0</v>
      </c>
      <c r="N34" s="243">
        <f t="shared" si="22"/>
        <v>0</v>
      </c>
      <c r="O34" s="244">
        <f t="shared" si="23"/>
        <v>0</v>
      </c>
      <c r="P34" s="244">
        <f t="shared" si="24"/>
        <v>0</v>
      </c>
      <c r="Q34" s="245">
        <f t="shared" si="25"/>
        <v>0</v>
      </c>
      <c r="R34" s="246">
        <f t="shared" si="26"/>
        <v>0</v>
      </c>
      <c r="S34" s="247" t="e">
        <f t="shared" si="12"/>
        <v>#DIV/0!</v>
      </c>
      <c r="T34" s="247" t="e">
        <f t="shared" si="27"/>
        <v>#DIV/0!</v>
      </c>
      <c r="U34" s="89"/>
      <c r="V34" s="241" t="str">
        <f t="shared" si="6"/>
        <v/>
      </c>
      <c r="W34" s="112" t="str">
        <f t="shared" si="13"/>
        <v/>
      </c>
      <c r="X34" s="294" t="str">
        <f>IF($F34="","",INDEX('Bobrick Material Pricing 2025'!$A$2:$C$1000,MATCH($F34,'Bobrick Material Pricing 2025'!$A$2:$A$1000,0),3))</f>
        <v/>
      </c>
      <c r="Y34" s="295" t="str">
        <f>IF($F34="","",INDEX('Bobrick Labor Factors'!$A$2:$E$556,MATCH($F34,'Bobrick Labor Factors'!$A$2:$A$556,0),5))</f>
        <v/>
      </c>
      <c r="Z34" s="239" t="str">
        <f>IF($F34="","",INDEX('Bobrick Material Pricing 2025'!$A$2:$C$1000,MATCH($F34,'Bobrick Material Pricing 2025'!$A$2:$A$1000,0),2))</f>
        <v/>
      </c>
    </row>
    <row r="35" spans="1:26" s="248" customFormat="1" ht="12.75" customHeight="1">
      <c r="A35" s="240">
        <v>27</v>
      </c>
      <c r="B35" s="178"/>
      <c r="C35" s="112"/>
      <c r="D35" s="215"/>
      <c r="E35" s="112"/>
      <c r="F35" s="222"/>
      <c r="G35" s="178"/>
      <c r="H35" s="178"/>
      <c r="I35" s="294">
        <f>'summary sheet'!$E$2</f>
        <v>120</v>
      </c>
      <c r="J35" s="313">
        <f t="shared" si="21"/>
        <v>0</v>
      </c>
      <c r="K35" s="241">
        <v>0</v>
      </c>
      <c r="L35" s="241">
        <v>0</v>
      </c>
      <c r="M35" s="242">
        <v>0</v>
      </c>
      <c r="N35" s="243">
        <f t="shared" si="22"/>
        <v>0</v>
      </c>
      <c r="O35" s="244">
        <f t="shared" si="23"/>
        <v>0</v>
      </c>
      <c r="P35" s="244">
        <f t="shared" si="24"/>
        <v>0</v>
      </c>
      <c r="Q35" s="245">
        <f t="shared" si="25"/>
        <v>0</v>
      </c>
      <c r="R35" s="246">
        <f t="shared" si="26"/>
        <v>0</v>
      </c>
      <c r="S35" s="247" t="e">
        <f t="shared" si="12"/>
        <v>#DIV/0!</v>
      </c>
      <c r="T35" s="247" t="e">
        <f t="shared" si="27"/>
        <v>#DIV/0!</v>
      </c>
      <c r="U35" s="89"/>
      <c r="V35" s="241" t="str">
        <f t="shared" si="6"/>
        <v/>
      </c>
      <c r="W35" s="112" t="str">
        <f t="shared" si="13"/>
        <v/>
      </c>
      <c r="X35" s="294" t="str">
        <f>IF($F35="","",INDEX('Bobrick Material Pricing 2025'!$A$2:$C$1000,MATCH($F35,'Bobrick Material Pricing 2025'!$A$2:$A$1000,0),3))</f>
        <v/>
      </c>
      <c r="Y35" s="295" t="str">
        <f>IF($F35="","",INDEX('Bobrick Labor Factors'!$A$2:$E$556,MATCH($F35,'Bobrick Labor Factors'!$A$2:$A$556,0),5))</f>
        <v/>
      </c>
      <c r="Z35" s="239" t="str">
        <f>IF($F35="","",INDEX('Bobrick Material Pricing 2025'!$A$2:$C$1000,MATCH($F35,'Bobrick Material Pricing 2025'!$A$2:$A$1000,0),2))</f>
        <v/>
      </c>
    </row>
    <row r="36" spans="1:26" s="248" customFormat="1" ht="12.75" customHeight="1">
      <c r="A36" s="240">
        <v>28</v>
      </c>
      <c r="B36" s="178"/>
      <c r="C36" s="112"/>
      <c r="D36" s="215"/>
      <c r="E36" s="112"/>
      <c r="F36" s="222"/>
      <c r="G36" s="178"/>
      <c r="H36" s="178"/>
      <c r="I36" s="294">
        <f>'summary sheet'!$E$2</f>
        <v>120</v>
      </c>
      <c r="J36" s="313">
        <f t="shared" si="21"/>
        <v>0</v>
      </c>
      <c r="K36" s="241">
        <v>0</v>
      </c>
      <c r="L36" s="241">
        <v>0</v>
      </c>
      <c r="M36" s="242">
        <v>0</v>
      </c>
      <c r="N36" s="243">
        <f t="shared" si="22"/>
        <v>0</v>
      </c>
      <c r="O36" s="244">
        <f t="shared" si="23"/>
        <v>0</v>
      </c>
      <c r="P36" s="244">
        <f t="shared" si="24"/>
        <v>0</v>
      </c>
      <c r="Q36" s="245">
        <f t="shared" si="25"/>
        <v>0</v>
      </c>
      <c r="R36" s="246">
        <f t="shared" si="26"/>
        <v>0</v>
      </c>
      <c r="S36" s="247" t="e">
        <f t="shared" si="12"/>
        <v>#DIV/0!</v>
      </c>
      <c r="T36" s="247" t="e">
        <f t="shared" si="27"/>
        <v>#DIV/0!</v>
      </c>
      <c r="U36" s="89"/>
      <c r="V36" s="241" t="str">
        <f t="shared" si="6"/>
        <v/>
      </c>
      <c r="W36" s="112" t="str">
        <f t="shared" si="13"/>
        <v/>
      </c>
      <c r="X36" s="294" t="str">
        <f>IF($F36="","",INDEX('Bobrick Material Pricing 2025'!$A$2:$C$1000,MATCH($F36,'Bobrick Material Pricing 2025'!$A$2:$A$1000,0),3))</f>
        <v/>
      </c>
      <c r="Y36" s="295" t="str">
        <f>IF($F36="","",INDEX('Bobrick Labor Factors'!$A$2:$E$556,MATCH($F36,'Bobrick Labor Factors'!$A$2:$A$556,0),5))</f>
        <v/>
      </c>
      <c r="Z36" s="239" t="str">
        <f>IF($F36="","",INDEX('Bobrick Material Pricing 2025'!$A$2:$C$1000,MATCH($F36,'Bobrick Material Pricing 2025'!$A$2:$A$1000,0),2))</f>
        <v/>
      </c>
    </row>
    <row r="37" spans="1:26" s="248" customFormat="1" ht="12.75" customHeight="1">
      <c r="A37" s="240">
        <v>29</v>
      </c>
      <c r="B37" s="178"/>
      <c r="C37" s="112"/>
      <c r="D37" s="215"/>
      <c r="E37" s="112"/>
      <c r="F37" s="222"/>
      <c r="G37" s="178"/>
      <c r="H37" s="178"/>
      <c r="I37" s="294">
        <f>'summary sheet'!$E$2</f>
        <v>120</v>
      </c>
      <c r="J37" s="313">
        <f t="shared" si="21"/>
        <v>0</v>
      </c>
      <c r="K37" s="241">
        <v>0</v>
      </c>
      <c r="L37" s="241">
        <v>0</v>
      </c>
      <c r="M37" s="242">
        <v>0</v>
      </c>
      <c r="N37" s="243">
        <f t="shared" si="22"/>
        <v>0</v>
      </c>
      <c r="O37" s="244">
        <f t="shared" si="23"/>
        <v>0</v>
      </c>
      <c r="P37" s="244">
        <f t="shared" si="24"/>
        <v>0</v>
      </c>
      <c r="Q37" s="245">
        <f t="shared" si="25"/>
        <v>0</v>
      </c>
      <c r="R37" s="246">
        <f t="shared" si="26"/>
        <v>0</v>
      </c>
      <c r="S37" s="247" t="e">
        <f t="shared" si="12"/>
        <v>#DIV/0!</v>
      </c>
      <c r="T37" s="247" t="e">
        <f t="shared" si="27"/>
        <v>#DIV/0!</v>
      </c>
      <c r="U37" s="89"/>
      <c r="V37" s="241" t="str">
        <f t="shared" si="6"/>
        <v/>
      </c>
      <c r="W37" s="112" t="str">
        <f t="shared" si="13"/>
        <v/>
      </c>
      <c r="X37" s="294" t="str">
        <f>IF($F37="","",INDEX('Bobrick Material Pricing 2025'!$A$2:$C$1000,MATCH($F37,'Bobrick Material Pricing 2025'!$A$2:$A$1000,0),3))</f>
        <v/>
      </c>
      <c r="Y37" s="295" t="str">
        <f>IF($F37="","",INDEX('Bobrick Labor Factors'!$A$2:$E$556,MATCH($F37,'Bobrick Labor Factors'!$A$2:$A$556,0),5))</f>
        <v/>
      </c>
      <c r="Z37" s="239" t="str">
        <f>IF($F37="","",INDEX('Bobrick Material Pricing 2025'!$A$2:$C$1000,MATCH($F37,'Bobrick Material Pricing 2025'!$A$2:$A$1000,0),2))</f>
        <v/>
      </c>
    </row>
    <row r="38" spans="1:26" s="248" customFormat="1" ht="12.75" customHeight="1">
      <c r="A38" s="240">
        <v>30</v>
      </c>
      <c r="B38" s="178"/>
      <c r="C38" s="112"/>
      <c r="D38" s="215"/>
      <c r="E38" s="112"/>
      <c r="F38" s="222"/>
      <c r="G38" s="178"/>
      <c r="H38" s="178"/>
      <c r="I38" s="294">
        <f>'summary sheet'!$E$2</f>
        <v>120</v>
      </c>
      <c r="J38" s="313">
        <f t="shared" si="21"/>
        <v>0</v>
      </c>
      <c r="K38" s="241">
        <v>0</v>
      </c>
      <c r="L38" s="241">
        <v>0</v>
      </c>
      <c r="M38" s="242">
        <v>0</v>
      </c>
      <c r="N38" s="243">
        <f t="shared" si="22"/>
        <v>0</v>
      </c>
      <c r="O38" s="244">
        <f t="shared" si="23"/>
        <v>0</v>
      </c>
      <c r="P38" s="244">
        <f t="shared" si="24"/>
        <v>0</v>
      </c>
      <c r="Q38" s="245">
        <f t="shared" si="25"/>
        <v>0</v>
      </c>
      <c r="R38" s="246">
        <f t="shared" si="26"/>
        <v>0</v>
      </c>
      <c r="S38" s="247" t="e">
        <f t="shared" si="12"/>
        <v>#DIV/0!</v>
      </c>
      <c r="T38" s="247" t="e">
        <f t="shared" si="27"/>
        <v>#DIV/0!</v>
      </c>
      <c r="U38" s="89"/>
      <c r="V38" s="241" t="str">
        <f t="shared" si="6"/>
        <v/>
      </c>
      <c r="W38" s="112" t="str">
        <f t="shared" si="13"/>
        <v/>
      </c>
      <c r="X38" s="294" t="str">
        <f>IF($F38="","",INDEX('Bobrick Material Pricing 2025'!$A$2:$C$1000,MATCH($F38,'Bobrick Material Pricing 2025'!$A$2:$A$1000,0),3))</f>
        <v/>
      </c>
      <c r="Y38" s="295" t="str">
        <f>IF($F38="","",INDEX('Bobrick Labor Factors'!$A$2:$E$556,MATCH($F38,'Bobrick Labor Factors'!$A$2:$A$556,0),5))</f>
        <v/>
      </c>
      <c r="Z38" s="239" t="str">
        <f>IF($F38="","",INDEX('Bobrick Material Pricing 2025'!$A$2:$C$1000,MATCH($F38,'Bobrick Material Pricing 2025'!$A$2:$A$1000,0),2))</f>
        <v/>
      </c>
    </row>
    <row r="39" spans="1:26" s="248" customFormat="1" ht="12.75" customHeight="1">
      <c r="A39" s="240">
        <v>31</v>
      </c>
      <c r="B39" s="178"/>
      <c r="C39" s="112"/>
      <c r="D39" s="215"/>
      <c r="E39" s="112"/>
      <c r="F39" s="222"/>
      <c r="G39" s="178"/>
      <c r="H39" s="178"/>
      <c r="I39" s="294">
        <f>'summary sheet'!$E$2</f>
        <v>120</v>
      </c>
      <c r="J39" s="313">
        <f t="shared" si="21"/>
        <v>0</v>
      </c>
      <c r="K39" s="241">
        <v>0</v>
      </c>
      <c r="L39" s="241">
        <v>0</v>
      </c>
      <c r="M39" s="242">
        <v>0</v>
      </c>
      <c r="N39" s="243">
        <f t="shared" si="22"/>
        <v>0</v>
      </c>
      <c r="O39" s="244">
        <f t="shared" si="23"/>
        <v>0</v>
      </c>
      <c r="P39" s="244">
        <f t="shared" si="24"/>
        <v>0</v>
      </c>
      <c r="Q39" s="245">
        <f t="shared" si="25"/>
        <v>0</v>
      </c>
      <c r="R39" s="246">
        <f t="shared" si="26"/>
        <v>0</v>
      </c>
      <c r="S39" s="247" t="e">
        <f t="shared" si="12"/>
        <v>#DIV/0!</v>
      </c>
      <c r="T39" s="247" t="e">
        <f t="shared" si="27"/>
        <v>#DIV/0!</v>
      </c>
      <c r="U39" s="89"/>
      <c r="V39" s="241" t="str">
        <f t="shared" si="6"/>
        <v/>
      </c>
      <c r="W39" s="112" t="str">
        <f t="shared" si="13"/>
        <v/>
      </c>
      <c r="X39" s="294" t="str">
        <f>IF($F39="","",INDEX('Bobrick Material Pricing 2025'!$A$2:$C$1000,MATCH($F39,'Bobrick Material Pricing 2025'!$A$2:$A$1000,0),3))</f>
        <v/>
      </c>
      <c r="Y39" s="295" t="str">
        <f>IF($F39="","",INDEX('Bobrick Labor Factors'!$A$2:$E$556,MATCH($F39,'Bobrick Labor Factors'!$A$2:$A$556,0),5))</f>
        <v/>
      </c>
      <c r="Z39" s="239" t="str">
        <f>IF($F39="","",INDEX('Bobrick Material Pricing 2025'!$A$2:$C$1000,MATCH($F39,'Bobrick Material Pricing 2025'!$A$2:$A$1000,0),2))</f>
        <v/>
      </c>
    </row>
    <row r="40" spans="1:26" s="248" customFormat="1" ht="12.75" customHeight="1">
      <c r="A40" s="240">
        <v>32</v>
      </c>
      <c r="B40" s="178"/>
      <c r="C40" s="112"/>
      <c r="D40" s="215"/>
      <c r="E40" s="112"/>
      <c r="F40" s="222"/>
      <c r="G40" s="178"/>
      <c r="H40" s="178"/>
      <c r="I40" s="294">
        <f>'summary sheet'!$E$2</f>
        <v>120</v>
      </c>
      <c r="J40" s="313">
        <f t="shared" si="21"/>
        <v>0</v>
      </c>
      <c r="K40" s="241">
        <v>0</v>
      </c>
      <c r="L40" s="241">
        <v>0</v>
      </c>
      <c r="M40" s="242">
        <v>0</v>
      </c>
      <c r="N40" s="243">
        <f t="shared" si="22"/>
        <v>0</v>
      </c>
      <c r="O40" s="244">
        <f t="shared" si="23"/>
        <v>0</v>
      </c>
      <c r="P40" s="244">
        <f t="shared" si="24"/>
        <v>0</v>
      </c>
      <c r="Q40" s="245">
        <f t="shared" si="25"/>
        <v>0</v>
      </c>
      <c r="R40" s="246">
        <f t="shared" si="26"/>
        <v>0</v>
      </c>
      <c r="S40" s="247" t="e">
        <f t="shared" si="12"/>
        <v>#DIV/0!</v>
      </c>
      <c r="T40" s="247" t="e">
        <f t="shared" si="27"/>
        <v>#DIV/0!</v>
      </c>
      <c r="U40" s="89"/>
      <c r="V40" s="241" t="str">
        <f t="shared" si="6"/>
        <v/>
      </c>
      <c r="W40" s="112" t="str">
        <f t="shared" si="13"/>
        <v/>
      </c>
      <c r="X40" s="294" t="str">
        <f>IF($F40="","",INDEX('Bobrick Material Pricing 2025'!$A$2:$C$1000,MATCH($F40,'Bobrick Material Pricing 2025'!$A$2:$A$1000,0),3))</f>
        <v/>
      </c>
      <c r="Y40" s="295" t="str">
        <f>IF($F40="","",INDEX('Bobrick Labor Factors'!$A$2:$E$556,MATCH($F40,'Bobrick Labor Factors'!$A$2:$A$556,0),5))</f>
        <v/>
      </c>
      <c r="Z40" s="239" t="str">
        <f>IF($F40="","",INDEX('Bobrick Material Pricing 2025'!$A$2:$C$1000,MATCH($F40,'Bobrick Material Pricing 2025'!$A$2:$A$1000,0),2))</f>
        <v/>
      </c>
    </row>
    <row r="41" spans="1:26" s="248" customFormat="1" ht="12.75" customHeight="1">
      <c r="A41" s="240">
        <v>33</v>
      </c>
      <c r="B41" s="178"/>
      <c r="C41" s="112"/>
      <c r="D41" s="215"/>
      <c r="E41" s="112"/>
      <c r="F41" s="222"/>
      <c r="G41" s="178"/>
      <c r="H41" s="178"/>
      <c r="I41" s="294">
        <f>'summary sheet'!$E$2</f>
        <v>120</v>
      </c>
      <c r="J41" s="313">
        <f t="shared" si="21"/>
        <v>0</v>
      </c>
      <c r="K41" s="241">
        <v>0</v>
      </c>
      <c r="L41" s="241">
        <v>0</v>
      </c>
      <c r="M41" s="242">
        <v>0</v>
      </c>
      <c r="N41" s="243">
        <f t="shared" si="22"/>
        <v>0</v>
      </c>
      <c r="O41" s="244">
        <f t="shared" si="23"/>
        <v>0</v>
      </c>
      <c r="P41" s="244">
        <f t="shared" si="24"/>
        <v>0</v>
      </c>
      <c r="Q41" s="245">
        <f t="shared" si="25"/>
        <v>0</v>
      </c>
      <c r="R41" s="246">
        <f t="shared" si="26"/>
        <v>0</v>
      </c>
      <c r="S41" s="247" t="e">
        <f t="shared" si="12"/>
        <v>#DIV/0!</v>
      </c>
      <c r="T41" s="247" t="e">
        <f t="shared" si="27"/>
        <v>#DIV/0!</v>
      </c>
      <c r="U41" s="89"/>
      <c r="V41" s="241" t="str">
        <f t="shared" si="6"/>
        <v/>
      </c>
      <c r="W41" s="112" t="str">
        <f t="shared" si="13"/>
        <v/>
      </c>
      <c r="X41" s="294" t="str">
        <f>IF($F41="","",INDEX('Bobrick Material Pricing 2025'!$A$2:$C$1000,MATCH($F41,'Bobrick Material Pricing 2025'!$A$2:$A$1000,0),3))</f>
        <v/>
      </c>
      <c r="Y41" s="295" t="str">
        <f>IF($F41="","",INDEX('Bobrick Labor Factors'!$A$2:$E$556,MATCH($F41,'Bobrick Labor Factors'!$A$2:$A$556,0),5))</f>
        <v/>
      </c>
      <c r="Z41" s="239" t="str">
        <f>IF($F41="","",INDEX('Bobrick Material Pricing 2025'!$A$2:$C$1000,MATCH($F41,'Bobrick Material Pricing 2025'!$A$2:$A$1000,0),2))</f>
        <v/>
      </c>
    </row>
    <row r="42" spans="1:26" s="248" customFormat="1" ht="12.75" customHeight="1">
      <c r="A42" s="240">
        <v>34</v>
      </c>
      <c r="B42" s="178"/>
      <c r="C42" s="112"/>
      <c r="D42" s="215"/>
      <c r="E42" s="112"/>
      <c r="F42" s="222"/>
      <c r="G42" s="178"/>
      <c r="H42" s="178"/>
      <c r="I42" s="294">
        <f>'summary sheet'!$E$2</f>
        <v>120</v>
      </c>
      <c r="J42" s="313">
        <f t="shared" si="21"/>
        <v>0</v>
      </c>
      <c r="K42" s="241">
        <v>0</v>
      </c>
      <c r="L42" s="241">
        <v>0</v>
      </c>
      <c r="M42" s="242">
        <v>0</v>
      </c>
      <c r="N42" s="243">
        <f t="shared" si="22"/>
        <v>0</v>
      </c>
      <c r="O42" s="244">
        <f t="shared" si="23"/>
        <v>0</v>
      </c>
      <c r="P42" s="244">
        <f t="shared" si="24"/>
        <v>0</v>
      </c>
      <c r="Q42" s="245">
        <f t="shared" si="25"/>
        <v>0</v>
      </c>
      <c r="R42" s="246">
        <f t="shared" si="26"/>
        <v>0</v>
      </c>
      <c r="S42" s="247" t="e">
        <f t="shared" si="12"/>
        <v>#DIV/0!</v>
      </c>
      <c r="T42" s="247" t="e">
        <f t="shared" si="27"/>
        <v>#DIV/0!</v>
      </c>
      <c r="U42" s="89"/>
      <c r="V42" s="241" t="str">
        <f t="shared" si="6"/>
        <v/>
      </c>
      <c r="W42" s="112" t="str">
        <f t="shared" si="13"/>
        <v/>
      </c>
      <c r="X42" s="294" t="str">
        <f>IF($F42="","",INDEX('Bobrick Material Pricing 2025'!$A$2:$C$1000,MATCH($F42,'Bobrick Material Pricing 2025'!$A$2:$A$1000,0),3))</f>
        <v/>
      </c>
      <c r="Y42" s="295" t="str">
        <f>IF($F42="","",INDEX('Bobrick Labor Factors'!$A$2:$E$556,MATCH($F42,'Bobrick Labor Factors'!$A$2:$A$556,0),5))</f>
        <v/>
      </c>
      <c r="Z42" s="239" t="str">
        <f>IF($F42="","",INDEX('Bobrick Material Pricing 2025'!$A$2:$C$1000,MATCH($F42,'Bobrick Material Pricing 2025'!$A$2:$A$1000,0),2))</f>
        <v/>
      </c>
    </row>
    <row r="43" spans="1:26" s="248" customFormat="1" ht="12.75" customHeight="1">
      <c r="A43" s="240">
        <v>35</v>
      </c>
      <c r="B43" s="178"/>
      <c r="C43" s="112"/>
      <c r="D43" s="215"/>
      <c r="E43" s="112"/>
      <c r="F43" s="222"/>
      <c r="G43" s="178"/>
      <c r="H43" s="178"/>
      <c r="I43" s="294">
        <f>'summary sheet'!$E$2</f>
        <v>120</v>
      </c>
      <c r="J43" s="313">
        <f t="shared" si="21"/>
        <v>0</v>
      </c>
      <c r="K43" s="241">
        <v>0</v>
      </c>
      <c r="L43" s="241">
        <v>0</v>
      </c>
      <c r="M43" s="242">
        <v>0</v>
      </c>
      <c r="N43" s="243">
        <f t="shared" si="22"/>
        <v>0</v>
      </c>
      <c r="O43" s="244">
        <f t="shared" si="23"/>
        <v>0</v>
      </c>
      <c r="P43" s="244">
        <f t="shared" si="24"/>
        <v>0</v>
      </c>
      <c r="Q43" s="245">
        <f t="shared" si="25"/>
        <v>0</v>
      </c>
      <c r="R43" s="246">
        <f t="shared" si="26"/>
        <v>0</v>
      </c>
      <c r="S43" s="247" t="e">
        <f t="shared" si="12"/>
        <v>#DIV/0!</v>
      </c>
      <c r="T43" s="247" t="e">
        <f t="shared" si="27"/>
        <v>#DIV/0!</v>
      </c>
      <c r="U43" s="89"/>
      <c r="V43" s="241" t="str">
        <f t="shared" si="6"/>
        <v/>
      </c>
      <c r="W43" s="112" t="str">
        <f t="shared" si="13"/>
        <v/>
      </c>
      <c r="X43" s="294" t="str">
        <f>IF($F43="","",INDEX('Bobrick Material Pricing 2025'!$A$2:$C$1000,MATCH($F43,'Bobrick Material Pricing 2025'!$A$2:$A$1000,0),3))</f>
        <v/>
      </c>
      <c r="Y43" s="295" t="str">
        <f>IF($F43="","",INDEX('Bobrick Labor Factors'!$A$2:$E$556,MATCH($F43,'Bobrick Labor Factors'!$A$2:$A$556,0),5))</f>
        <v/>
      </c>
      <c r="Z43" s="239" t="str">
        <f>IF($F43="","",INDEX('Bobrick Material Pricing 2025'!$A$2:$C$1000,MATCH($F43,'Bobrick Material Pricing 2025'!$A$2:$A$1000,0),2))</f>
        <v/>
      </c>
    </row>
    <row r="44" spans="1:26" s="248" customFormat="1" ht="12.75" customHeight="1">
      <c r="A44" s="240">
        <v>36</v>
      </c>
      <c r="B44" s="178"/>
      <c r="C44" s="112"/>
      <c r="D44" s="215"/>
      <c r="E44" s="112"/>
      <c r="F44" s="222"/>
      <c r="G44" s="178"/>
      <c r="H44" s="178"/>
      <c r="I44" s="294">
        <f>'summary sheet'!$E$2</f>
        <v>120</v>
      </c>
      <c r="J44" s="313">
        <f t="shared" si="0"/>
        <v>0</v>
      </c>
      <c r="K44" s="241">
        <v>0</v>
      </c>
      <c r="L44" s="241">
        <v>0</v>
      </c>
      <c r="M44" s="242">
        <v>0</v>
      </c>
      <c r="N44" s="243">
        <f t="shared" si="7"/>
        <v>0</v>
      </c>
      <c r="O44" s="244">
        <f t="shared" si="8"/>
        <v>0</v>
      </c>
      <c r="P44" s="244">
        <f t="shared" si="9"/>
        <v>0</v>
      </c>
      <c r="Q44" s="245">
        <f t="shared" si="10"/>
        <v>0</v>
      </c>
      <c r="R44" s="246">
        <f t="shared" si="11"/>
        <v>0</v>
      </c>
      <c r="S44" s="247" t="e">
        <f t="shared" si="12"/>
        <v>#DIV/0!</v>
      </c>
      <c r="T44" s="247" t="e">
        <f t="shared" si="5"/>
        <v>#DIV/0!</v>
      </c>
      <c r="U44" s="89"/>
      <c r="V44" s="241" t="str">
        <f t="shared" si="6"/>
        <v/>
      </c>
      <c r="W44" s="112" t="str">
        <f t="shared" si="13"/>
        <v/>
      </c>
      <c r="X44" s="294" t="str">
        <f>IF($F44="","",INDEX('Bobrick Material Pricing 2025'!$A$2:$C$1000,MATCH($F44,'Bobrick Material Pricing 2025'!$A$2:$A$1000,0),3))</f>
        <v/>
      </c>
      <c r="Y44" s="295" t="str">
        <f>IF($F44="","",INDEX('Bobrick Labor Factors'!$A$2:$E$556,MATCH($F44,'Bobrick Labor Factors'!$A$2:$A$556,0),5))</f>
        <v/>
      </c>
      <c r="Z44" s="239" t="str">
        <f>IF($F44="","",INDEX('Bobrick Material Pricing 2025'!$A$2:$C$1000,MATCH($F44,'Bobrick Material Pricing 2025'!$A$2:$A$1000,0),2))</f>
        <v/>
      </c>
    </row>
    <row r="45" spans="1:26" s="248" customFormat="1" ht="12.75" customHeight="1">
      <c r="A45" s="240">
        <v>37</v>
      </c>
      <c r="B45" s="178"/>
      <c r="C45" s="112"/>
      <c r="D45" s="215"/>
      <c r="E45" s="112"/>
      <c r="F45" s="222"/>
      <c r="G45" s="178"/>
      <c r="H45" s="178"/>
      <c r="I45" s="294">
        <f>'summary sheet'!$E$2</f>
        <v>120</v>
      </c>
      <c r="J45" s="313">
        <f t="shared" si="0"/>
        <v>0</v>
      </c>
      <c r="K45" s="241">
        <v>0</v>
      </c>
      <c r="L45" s="241">
        <v>0</v>
      </c>
      <c r="M45" s="242">
        <v>0</v>
      </c>
      <c r="N45" s="243">
        <f t="shared" si="7"/>
        <v>0</v>
      </c>
      <c r="O45" s="244">
        <f t="shared" si="8"/>
        <v>0</v>
      </c>
      <c r="P45" s="244">
        <f t="shared" si="9"/>
        <v>0</v>
      </c>
      <c r="Q45" s="245">
        <f t="shared" si="10"/>
        <v>0</v>
      </c>
      <c r="R45" s="246">
        <f t="shared" si="11"/>
        <v>0</v>
      </c>
      <c r="S45" s="247" t="e">
        <f t="shared" si="12"/>
        <v>#DIV/0!</v>
      </c>
      <c r="T45" s="247" t="e">
        <f t="shared" si="5"/>
        <v>#DIV/0!</v>
      </c>
      <c r="U45" s="89"/>
      <c r="V45" s="241" t="str">
        <f t="shared" si="6"/>
        <v/>
      </c>
      <c r="W45" s="112" t="str">
        <f t="shared" si="13"/>
        <v/>
      </c>
      <c r="X45" s="294" t="str">
        <f>IF($F45="","",INDEX('Bobrick Material Pricing 2025'!$A$2:$C$1000,MATCH($F45,'Bobrick Material Pricing 2025'!$A$2:$A$1000,0),3))</f>
        <v/>
      </c>
      <c r="Y45" s="295" t="str">
        <f>IF($F45="","",INDEX('Bobrick Labor Factors'!$A$2:$E$556,MATCH($F45,'Bobrick Labor Factors'!$A$2:$A$556,0),5))</f>
        <v/>
      </c>
      <c r="Z45" s="239" t="str">
        <f>IF($F45="","",INDEX('Bobrick Material Pricing 2025'!$A$2:$C$1000,MATCH($F45,'Bobrick Material Pricing 2025'!$A$2:$A$1000,0),2))</f>
        <v/>
      </c>
    </row>
    <row r="46" spans="1:26" s="248" customFormat="1" ht="12.75" customHeight="1">
      <c r="A46" s="240">
        <v>38</v>
      </c>
      <c r="B46" s="178"/>
      <c r="C46" s="112"/>
      <c r="D46" s="215"/>
      <c r="E46" s="112"/>
      <c r="F46" s="222"/>
      <c r="G46" s="178"/>
      <c r="H46" s="178"/>
      <c r="I46" s="294">
        <f>'summary sheet'!$E$2</f>
        <v>120</v>
      </c>
      <c r="J46" s="313">
        <f t="shared" si="0"/>
        <v>0</v>
      </c>
      <c r="K46" s="241">
        <v>0</v>
      </c>
      <c r="L46" s="241">
        <v>0</v>
      </c>
      <c r="M46" s="242">
        <v>0</v>
      </c>
      <c r="N46" s="243">
        <f t="shared" si="7"/>
        <v>0</v>
      </c>
      <c r="O46" s="244">
        <f t="shared" si="8"/>
        <v>0</v>
      </c>
      <c r="P46" s="244">
        <f t="shared" si="9"/>
        <v>0</v>
      </c>
      <c r="Q46" s="245">
        <f t="shared" si="10"/>
        <v>0</v>
      </c>
      <c r="R46" s="246">
        <f t="shared" si="11"/>
        <v>0</v>
      </c>
      <c r="S46" s="247" t="e">
        <f t="shared" si="12"/>
        <v>#DIV/0!</v>
      </c>
      <c r="T46" s="247" t="e">
        <f t="shared" si="5"/>
        <v>#DIV/0!</v>
      </c>
      <c r="U46" s="89"/>
      <c r="V46" s="241" t="str">
        <f t="shared" si="6"/>
        <v/>
      </c>
      <c r="W46" s="112" t="str">
        <f t="shared" si="13"/>
        <v/>
      </c>
      <c r="X46" s="294" t="str">
        <f>IF($F46="","",INDEX('Bobrick Material Pricing 2025'!$A$2:$C$1000,MATCH($F46,'Bobrick Material Pricing 2025'!$A$2:$A$1000,0),3))</f>
        <v/>
      </c>
      <c r="Y46" s="295" t="str">
        <f>IF($F46="","",INDEX('Bobrick Labor Factors'!$A$2:$E$556,MATCH($F46,'Bobrick Labor Factors'!$A$2:$A$556,0),5))</f>
        <v/>
      </c>
      <c r="Z46" s="239" t="str">
        <f>IF($F46="","",INDEX('Bobrick Material Pricing 2025'!$A$2:$C$1000,MATCH($F46,'Bobrick Material Pricing 2025'!$A$2:$A$1000,0),2))</f>
        <v/>
      </c>
    </row>
    <row r="47" spans="1:26" s="248" customFormat="1" ht="12.75" customHeight="1">
      <c r="A47" s="240">
        <v>39</v>
      </c>
      <c r="B47" s="178"/>
      <c r="C47" s="112"/>
      <c r="D47" s="215"/>
      <c r="E47" s="112"/>
      <c r="F47" s="222"/>
      <c r="G47" s="178"/>
      <c r="H47" s="178"/>
      <c r="I47" s="294">
        <f>'summary sheet'!$E$2</f>
        <v>120</v>
      </c>
      <c r="J47" s="313">
        <f t="shared" si="0"/>
        <v>0</v>
      </c>
      <c r="K47" s="241">
        <v>0</v>
      </c>
      <c r="L47" s="241">
        <v>0</v>
      </c>
      <c r="M47" s="242">
        <v>0</v>
      </c>
      <c r="N47" s="243">
        <f t="shared" si="7"/>
        <v>0</v>
      </c>
      <c r="O47" s="244">
        <f t="shared" si="8"/>
        <v>0</v>
      </c>
      <c r="P47" s="244">
        <f t="shared" si="9"/>
        <v>0</v>
      </c>
      <c r="Q47" s="245">
        <f t="shared" si="10"/>
        <v>0</v>
      </c>
      <c r="R47" s="246">
        <f t="shared" si="11"/>
        <v>0</v>
      </c>
      <c r="S47" s="247" t="e">
        <f t="shared" si="12"/>
        <v>#DIV/0!</v>
      </c>
      <c r="T47" s="247" t="e">
        <f t="shared" si="5"/>
        <v>#DIV/0!</v>
      </c>
      <c r="U47" s="89"/>
      <c r="V47" s="241" t="str">
        <f t="shared" si="6"/>
        <v/>
      </c>
      <c r="W47" s="112" t="str">
        <f t="shared" si="13"/>
        <v/>
      </c>
      <c r="X47" s="294" t="str">
        <f>IF($F47="","",INDEX('Bobrick Material Pricing 2025'!$A$2:$C$1000,MATCH($F47,'Bobrick Material Pricing 2025'!$A$2:$A$1000,0),3))</f>
        <v/>
      </c>
      <c r="Y47" s="295" t="str">
        <f>IF($F47="","",INDEX('Bobrick Labor Factors'!$A$2:$E$556,MATCH($F47,'Bobrick Labor Factors'!$A$2:$A$556,0),5))</f>
        <v/>
      </c>
      <c r="Z47" s="239" t="str">
        <f>IF($F47="","",INDEX('Bobrick Material Pricing 2025'!$A$2:$C$1000,MATCH($F47,'Bobrick Material Pricing 2025'!$A$2:$A$1000,0),2))</f>
        <v/>
      </c>
    </row>
    <row r="48" spans="1:26" s="248" customFormat="1" ht="12.75" customHeight="1">
      <c r="A48" s="240">
        <v>40</v>
      </c>
      <c r="B48" s="178"/>
      <c r="C48" s="112"/>
      <c r="D48" s="215"/>
      <c r="E48" s="112"/>
      <c r="F48" s="222"/>
      <c r="G48" s="178"/>
      <c r="H48" s="178"/>
      <c r="I48" s="294">
        <f>'summary sheet'!$E$2</f>
        <v>120</v>
      </c>
      <c r="J48" s="313">
        <f t="shared" si="0"/>
        <v>0</v>
      </c>
      <c r="K48" s="241">
        <v>0</v>
      </c>
      <c r="L48" s="241">
        <v>0</v>
      </c>
      <c r="M48" s="242">
        <v>0</v>
      </c>
      <c r="N48" s="243">
        <f t="shared" si="7"/>
        <v>0</v>
      </c>
      <c r="O48" s="244">
        <f t="shared" si="8"/>
        <v>0</v>
      </c>
      <c r="P48" s="244">
        <f t="shared" si="9"/>
        <v>0</v>
      </c>
      <c r="Q48" s="245">
        <f t="shared" si="10"/>
        <v>0</v>
      </c>
      <c r="R48" s="246">
        <f t="shared" si="11"/>
        <v>0</v>
      </c>
      <c r="S48" s="247" t="e">
        <f t="shared" si="12"/>
        <v>#DIV/0!</v>
      </c>
      <c r="T48" s="247" t="e">
        <f t="shared" si="5"/>
        <v>#DIV/0!</v>
      </c>
      <c r="U48" s="89"/>
      <c r="V48" s="241" t="str">
        <f t="shared" si="6"/>
        <v/>
      </c>
      <c r="W48" s="112" t="str">
        <f t="shared" si="13"/>
        <v/>
      </c>
      <c r="X48" s="294" t="str">
        <f>IF($F48="","",INDEX('Bobrick Material Pricing 2025'!$A$2:$C$1000,MATCH($F48,'Bobrick Material Pricing 2025'!$A$2:$A$1000,0),3))</f>
        <v/>
      </c>
      <c r="Y48" s="295" t="str">
        <f>IF($F48="","",INDEX('Bobrick Labor Factors'!$A$2:$E$556,MATCH($F48,'Bobrick Labor Factors'!$A$2:$A$556,0),5))</f>
        <v/>
      </c>
      <c r="Z48" s="239" t="str">
        <f>IF($F48="","",INDEX('Bobrick Material Pricing 2025'!$A$2:$C$1000,MATCH($F48,'Bobrick Material Pricing 2025'!$A$2:$A$1000,0),2))</f>
        <v/>
      </c>
    </row>
    <row r="49" spans="1:26" s="248" customFormat="1" ht="12.75" customHeight="1">
      <c r="A49" s="240">
        <v>41</v>
      </c>
      <c r="B49" s="178"/>
      <c r="C49" s="112"/>
      <c r="D49" s="215"/>
      <c r="E49" s="112"/>
      <c r="F49" s="222"/>
      <c r="G49" s="178"/>
      <c r="H49" s="178"/>
      <c r="I49" s="294">
        <f>'summary sheet'!$E$2</f>
        <v>120</v>
      </c>
      <c r="J49" s="313">
        <f t="shared" si="0"/>
        <v>0</v>
      </c>
      <c r="K49" s="241">
        <v>0</v>
      </c>
      <c r="L49" s="241">
        <v>0</v>
      </c>
      <c r="M49" s="242">
        <v>0</v>
      </c>
      <c r="N49" s="243">
        <f t="shared" si="7"/>
        <v>0</v>
      </c>
      <c r="O49" s="244">
        <f t="shared" si="8"/>
        <v>0</v>
      </c>
      <c r="P49" s="244">
        <f t="shared" si="9"/>
        <v>0</v>
      </c>
      <c r="Q49" s="245">
        <f t="shared" si="10"/>
        <v>0</v>
      </c>
      <c r="R49" s="246">
        <f t="shared" si="11"/>
        <v>0</v>
      </c>
      <c r="S49" s="247" t="e">
        <f t="shared" si="12"/>
        <v>#DIV/0!</v>
      </c>
      <c r="T49" s="247" t="e">
        <f t="shared" si="5"/>
        <v>#DIV/0!</v>
      </c>
      <c r="U49" s="89"/>
      <c r="V49" s="241" t="str">
        <f t="shared" si="6"/>
        <v/>
      </c>
      <c r="W49" s="112" t="str">
        <f t="shared" si="13"/>
        <v/>
      </c>
      <c r="X49" s="294" t="str">
        <f>IF($F49="","",INDEX('Bobrick Material Pricing 2025'!$A$2:$C$1000,MATCH($F49,'Bobrick Material Pricing 2025'!$A$2:$A$1000,0),3))</f>
        <v/>
      </c>
      <c r="Y49" s="295" t="str">
        <f>IF($F49="","",INDEX('Bobrick Labor Factors'!$A$2:$E$556,MATCH($F49,'Bobrick Labor Factors'!$A$2:$A$556,0),5))</f>
        <v/>
      </c>
      <c r="Z49" s="239" t="str">
        <f>IF($F49="","",INDEX('Bobrick Material Pricing 2025'!$A$2:$C$1000,MATCH($F49,'Bobrick Material Pricing 2025'!$A$2:$A$1000,0),2))</f>
        <v/>
      </c>
    </row>
    <row r="50" spans="1:26" s="248" customFormat="1" ht="12.75" customHeight="1">
      <c r="A50" s="240">
        <v>42</v>
      </c>
      <c r="B50" s="178"/>
      <c r="C50" s="112"/>
      <c r="D50" s="215"/>
      <c r="E50" s="112"/>
      <c r="F50" s="222"/>
      <c r="G50" s="178"/>
      <c r="H50" s="178"/>
      <c r="I50" s="294">
        <f>'summary sheet'!$E$2</f>
        <v>120</v>
      </c>
      <c r="J50" s="313">
        <f t="shared" si="0"/>
        <v>0</v>
      </c>
      <c r="K50" s="241">
        <v>0</v>
      </c>
      <c r="L50" s="241">
        <v>0</v>
      </c>
      <c r="M50" s="242">
        <v>0</v>
      </c>
      <c r="N50" s="243">
        <f t="shared" si="7"/>
        <v>0</v>
      </c>
      <c r="O50" s="244">
        <f t="shared" si="8"/>
        <v>0</v>
      </c>
      <c r="P50" s="244">
        <f t="shared" si="9"/>
        <v>0</v>
      </c>
      <c r="Q50" s="245">
        <f t="shared" si="10"/>
        <v>0</v>
      </c>
      <c r="R50" s="246">
        <f t="shared" si="11"/>
        <v>0</v>
      </c>
      <c r="S50" s="247" t="e">
        <f t="shared" si="12"/>
        <v>#DIV/0!</v>
      </c>
      <c r="T50" s="247" t="e">
        <f t="shared" si="5"/>
        <v>#DIV/0!</v>
      </c>
      <c r="U50" s="89"/>
      <c r="V50" s="241" t="str">
        <f t="shared" si="6"/>
        <v/>
      </c>
      <c r="W50" s="112" t="str">
        <f t="shared" si="13"/>
        <v/>
      </c>
      <c r="X50" s="294" t="str">
        <f>IF($F50="","",INDEX('Bobrick Material Pricing 2025'!$A$2:$C$1000,MATCH($F50,'Bobrick Material Pricing 2025'!$A$2:$A$1000,0),3))</f>
        <v/>
      </c>
      <c r="Y50" s="295" t="str">
        <f>IF($F50="","",INDEX('Bobrick Labor Factors'!$A$2:$E$556,MATCH($F50,'Bobrick Labor Factors'!$A$2:$A$556,0),5))</f>
        <v/>
      </c>
      <c r="Z50" s="239" t="str">
        <f>IF($F50="","",INDEX('Bobrick Material Pricing 2025'!$A$2:$C$1000,MATCH($F50,'Bobrick Material Pricing 2025'!$A$2:$A$1000,0),2))</f>
        <v/>
      </c>
    </row>
    <row r="51" spans="1:26" s="248" customFormat="1" ht="12.75" customHeight="1">
      <c r="A51" s="240">
        <v>43</v>
      </c>
      <c r="B51" s="178"/>
      <c r="C51" s="112"/>
      <c r="D51" s="215"/>
      <c r="E51" s="112"/>
      <c r="F51" s="222"/>
      <c r="G51" s="178"/>
      <c r="H51" s="178"/>
      <c r="I51" s="294">
        <f>'summary sheet'!$E$2</f>
        <v>120</v>
      </c>
      <c r="J51" s="313">
        <f t="shared" si="0"/>
        <v>0</v>
      </c>
      <c r="K51" s="241">
        <v>0</v>
      </c>
      <c r="L51" s="241">
        <v>0</v>
      </c>
      <c r="M51" s="242">
        <v>0</v>
      </c>
      <c r="N51" s="243">
        <f t="shared" si="7"/>
        <v>0</v>
      </c>
      <c r="O51" s="244">
        <f t="shared" si="8"/>
        <v>0</v>
      </c>
      <c r="P51" s="244">
        <f t="shared" si="9"/>
        <v>0</v>
      </c>
      <c r="Q51" s="245">
        <f t="shared" si="10"/>
        <v>0</v>
      </c>
      <c r="R51" s="246">
        <f t="shared" si="11"/>
        <v>0</v>
      </c>
      <c r="S51" s="247" t="e">
        <f t="shared" si="12"/>
        <v>#DIV/0!</v>
      </c>
      <c r="T51" s="247" t="e">
        <f t="shared" si="5"/>
        <v>#DIV/0!</v>
      </c>
      <c r="U51" s="89"/>
      <c r="V51" s="241" t="str">
        <f t="shared" si="6"/>
        <v/>
      </c>
      <c r="W51" s="112" t="str">
        <f t="shared" si="13"/>
        <v/>
      </c>
      <c r="X51" s="294" t="str">
        <f>IF($F51="","",INDEX('Bobrick Material Pricing 2025'!$A$2:$C$1000,MATCH($F51,'Bobrick Material Pricing 2025'!$A$2:$A$1000,0),3))</f>
        <v/>
      </c>
      <c r="Y51" s="295" t="str">
        <f>IF($F51="","",INDEX('Bobrick Labor Factors'!$A$2:$E$556,MATCH($F51,'Bobrick Labor Factors'!$A$2:$A$556,0),5))</f>
        <v/>
      </c>
      <c r="Z51" s="239" t="str">
        <f>IF($F51="","",INDEX('Bobrick Material Pricing 2025'!$A$2:$C$1000,MATCH($F51,'Bobrick Material Pricing 2025'!$A$2:$A$1000,0),2))</f>
        <v/>
      </c>
    </row>
    <row r="52" spans="1:26" s="248" customFormat="1" ht="12.75" customHeight="1">
      <c r="A52" s="240">
        <v>44</v>
      </c>
      <c r="B52" s="178"/>
      <c r="C52" s="112"/>
      <c r="D52" s="215"/>
      <c r="E52" s="112"/>
      <c r="F52" s="222"/>
      <c r="G52" s="178"/>
      <c r="H52" s="178"/>
      <c r="I52" s="294">
        <f>'summary sheet'!$E$2</f>
        <v>120</v>
      </c>
      <c r="J52" s="313">
        <f t="shared" si="0"/>
        <v>0</v>
      </c>
      <c r="K52" s="241">
        <v>0</v>
      </c>
      <c r="L52" s="241">
        <v>0</v>
      </c>
      <c r="M52" s="242">
        <v>0</v>
      </c>
      <c r="N52" s="243">
        <f t="shared" si="7"/>
        <v>0</v>
      </c>
      <c r="O52" s="244">
        <f t="shared" si="8"/>
        <v>0</v>
      </c>
      <c r="P52" s="244">
        <f t="shared" si="9"/>
        <v>0</v>
      </c>
      <c r="Q52" s="245">
        <f t="shared" si="10"/>
        <v>0</v>
      </c>
      <c r="R52" s="246">
        <f t="shared" si="11"/>
        <v>0</v>
      </c>
      <c r="S52" s="247" t="e">
        <f t="shared" si="12"/>
        <v>#DIV/0!</v>
      </c>
      <c r="T52" s="247" t="e">
        <f t="shared" si="5"/>
        <v>#DIV/0!</v>
      </c>
      <c r="U52" s="89"/>
      <c r="V52" s="241" t="str">
        <f t="shared" si="6"/>
        <v/>
      </c>
      <c r="W52" s="112" t="str">
        <f t="shared" si="13"/>
        <v/>
      </c>
      <c r="X52" s="294" t="str">
        <f>IF($F52="","",INDEX('Bobrick Material Pricing 2025'!$A$2:$C$1000,MATCH($F52,'Bobrick Material Pricing 2025'!$A$2:$A$1000,0),3))</f>
        <v/>
      </c>
      <c r="Y52" s="295" t="str">
        <f>IF($F52="","",INDEX('Bobrick Labor Factors'!$A$2:$E$556,MATCH($F52,'Bobrick Labor Factors'!$A$2:$A$556,0),5))</f>
        <v/>
      </c>
      <c r="Z52" s="239" t="str">
        <f>IF($F52="","",INDEX('Bobrick Material Pricing 2025'!$A$2:$C$1000,MATCH($F52,'Bobrick Material Pricing 2025'!$A$2:$A$1000,0),2))</f>
        <v/>
      </c>
    </row>
    <row r="53" spans="1:26" s="248" customFormat="1" ht="12.75" customHeight="1">
      <c r="A53" s="240">
        <v>45</v>
      </c>
      <c r="B53" s="178"/>
      <c r="C53" s="112"/>
      <c r="D53" s="215"/>
      <c r="E53" s="112"/>
      <c r="F53" s="222"/>
      <c r="G53" s="178"/>
      <c r="H53" s="178"/>
      <c r="I53" s="294">
        <f>'summary sheet'!$E$2</f>
        <v>120</v>
      </c>
      <c r="J53" s="313">
        <f t="shared" si="0"/>
        <v>0</v>
      </c>
      <c r="K53" s="241">
        <v>0</v>
      </c>
      <c r="L53" s="241">
        <v>0</v>
      </c>
      <c r="M53" s="242">
        <v>0</v>
      </c>
      <c r="N53" s="243">
        <f t="shared" si="7"/>
        <v>0</v>
      </c>
      <c r="O53" s="244">
        <f t="shared" si="8"/>
        <v>0</v>
      </c>
      <c r="P53" s="244">
        <f t="shared" si="9"/>
        <v>0</v>
      </c>
      <c r="Q53" s="245">
        <f t="shared" si="10"/>
        <v>0</v>
      </c>
      <c r="R53" s="246">
        <f t="shared" si="11"/>
        <v>0</v>
      </c>
      <c r="S53" s="247" t="e">
        <f t="shared" si="12"/>
        <v>#DIV/0!</v>
      </c>
      <c r="T53" s="247" t="e">
        <f t="shared" si="5"/>
        <v>#DIV/0!</v>
      </c>
      <c r="U53" s="89"/>
      <c r="V53" s="241" t="str">
        <f t="shared" si="6"/>
        <v/>
      </c>
      <c r="W53" s="112" t="str">
        <f t="shared" si="13"/>
        <v/>
      </c>
      <c r="X53" s="294" t="str">
        <f>IF($F53="","",INDEX('Bobrick Material Pricing 2025'!$A$2:$C$1000,MATCH($F53,'Bobrick Material Pricing 2025'!$A$2:$A$1000,0),3))</f>
        <v/>
      </c>
      <c r="Y53" s="295" t="str">
        <f>IF($F53="","",INDEX('Bobrick Labor Factors'!$A$2:$E$556,MATCH($F53,'Bobrick Labor Factors'!$A$2:$A$556,0),5))</f>
        <v/>
      </c>
      <c r="Z53" s="239" t="str">
        <f>IF($F53="","",INDEX('Bobrick Material Pricing 2025'!$A$2:$C$1000,MATCH($F53,'Bobrick Material Pricing 2025'!$A$2:$A$1000,0),2))</f>
        <v/>
      </c>
    </row>
    <row r="54" spans="1:26" s="248" customFormat="1" ht="12.75" customHeight="1">
      <c r="A54" s="240">
        <v>46</v>
      </c>
      <c r="B54" s="178"/>
      <c r="C54" s="112"/>
      <c r="D54" s="215"/>
      <c r="E54" s="112"/>
      <c r="F54" s="222"/>
      <c r="G54" s="178"/>
      <c r="H54" s="178"/>
      <c r="I54" s="294">
        <f>'summary sheet'!$E$2</f>
        <v>120</v>
      </c>
      <c r="J54" s="313">
        <f t="shared" si="0"/>
        <v>0</v>
      </c>
      <c r="K54" s="241">
        <v>0</v>
      </c>
      <c r="L54" s="241">
        <v>0</v>
      </c>
      <c r="M54" s="242">
        <v>0</v>
      </c>
      <c r="N54" s="243">
        <f t="shared" si="7"/>
        <v>0</v>
      </c>
      <c r="O54" s="244">
        <f t="shared" si="8"/>
        <v>0</v>
      </c>
      <c r="P54" s="244">
        <f t="shared" si="9"/>
        <v>0</v>
      </c>
      <c r="Q54" s="245">
        <f t="shared" si="10"/>
        <v>0</v>
      </c>
      <c r="R54" s="246">
        <f t="shared" si="11"/>
        <v>0</v>
      </c>
      <c r="S54" s="247" t="e">
        <f t="shared" si="12"/>
        <v>#DIV/0!</v>
      </c>
      <c r="T54" s="247" t="e">
        <f t="shared" si="5"/>
        <v>#DIV/0!</v>
      </c>
      <c r="U54" s="89"/>
      <c r="V54" s="241" t="str">
        <f t="shared" si="6"/>
        <v/>
      </c>
      <c r="W54" s="112" t="str">
        <f t="shared" si="13"/>
        <v/>
      </c>
      <c r="X54" s="294" t="str">
        <f>IF($F54="","",INDEX('Bobrick Material Pricing 2025'!$A$2:$C$1000,MATCH($F54,'Bobrick Material Pricing 2025'!$A$2:$A$1000,0),3))</f>
        <v/>
      </c>
      <c r="Y54" s="295" t="str">
        <f>IF($F54="","",INDEX('Bobrick Labor Factors'!$A$2:$E$556,MATCH($F54,'Bobrick Labor Factors'!$A$2:$A$556,0),5))</f>
        <v/>
      </c>
      <c r="Z54" s="239" t="str">
        <f>IF($F54="","",INDEX('Bobrick Material Pricing 2025'!$A$2:$C$1000,MATCH($F54,'Bobrick Material Pricing 2025'!$A$2:$A$1000,0),2))</f>
        <v/>
      </c>
    </row>
    <row r="55" spans="1:26" s="248" customFormat="1" ht="12.75" customHeight="1">
      <c r="A55" s="240">
        <v>47</v>
      </c>
      <c r="B55" s="178"/>
      <c r="C55" s="112"/>
      <c r="D55" s="215"/>
      <c r="E55" s="112"/>
      <c r="F55" s="222"/>
      <c r="G55" s="178"/>
      <c r="H55" s="178"/>
      <c r="I55" s="294">
        <f>'summary sheet'!$E$2</f>
        <v>120</v>
      </c>
      <c r="J55" s="313">
        <f t="shared" si="0"/>
        <v>0</v>
      </c>
      <c r="K55" s="241">
        <v>0</v>
      </c>
      <c r="L55" s="241">
        <v>0</v>
      </c>
      <c r="M55" s="242">
        <v>0</v>
      </c>
      <c r="N55" s="243">
        <f t="shared" si="7"/>
        <v>0</v>
      </c>
      <c r="O55" s="244">
        <f t="shared" si="8"/>
        <v>0</v>
      </c>
      <c r="P55" s="244">
        <f t="shared" si="9"/>
        <v>0</v>
      </c>
      <c r="Q55" s="245">
        <f t="shared" si="10"/>
        <v>0</v>
      </c>
      <c r="R55" s="246">
        <f t="shared" si="11"/>
        <v>0</v>
      </c>
      <c r="S55" s="247" t="e">
        <f t="shared" si="12"/>
        <v>#DIV/0!</v>
      </c>
      <c r="T55" s="247" t="e">
        <f t="shared" si="5"/>
        <v>#DIV/0!</v>
      </c>
      <c r="U55" s="89"/>
      <c r="V55" s="241" t="str">
        <f t="shared" si="6"/>
        <v/>
      </c>
      <c r="W55" s="112" t="str">
        <f t="shared" si="13"/>
        <v/>
      </c>
      <c r="X55" s="294" t="str">
        <f>IF($F55="","",INDEX('Bobrick Material Pricing 2025'!$A$2:$C$1000,MATCH($F55,'Bobrick Material Pricing 2025'!$A$2:$A$1000,0),3))</f>
        <v/>
      </c>
      <c r="Y55" s="295" t="str">
        <f>IF($F55="","",INDEX('Bobrick Labor Factors'!$A$2:$E$556,MATCH($F55,'Bobrick Labor Factors'!$A$2:$A$556,0),5))</f>
        <v/>
      </c>
      <c r="Z55" s="239" t="str">
        <f>IF($F55="","",INDEX('Bobrick Material Pricing 2025'!$A$2:$C$1000,MATCH($F55,'Bobrick Material Pricing 2025'!$A$2:$A$1000,0),2))</f>
        <v/>
      </c>
    </row>
    <row r="56" spans="1:26" s="248" customFormat="1" ht="12.75" customHeight="1">
      <c r="A56" s="240">
        <v>48</v>
      </c>
      <c r="B56" s="178"/>
      <c r="C56" s="112"/>
      <c r="D56" s="215"/>
      <c r="E56" s="112"/>
      <c r="F56" s="222"/>
      <c r="G56" s="178"/>
      <c r="H56" s="178"/>
      <c r="I56" s="294">
        <f>'summary sheet'!$E$2</f>
        <v>120</v>
      </c>
      <c r="J56" s="313">
        <f t="shared" si="0"/>
        <v>0</v>
      </c>
      <c r="K56" s="241">
        <v>0</v>
      </c>
      <c r="L56" s="241">
        <v>0</v>
      </c>
      <c r="M56" s="242">
        <v>0</v>
      </c>
      <c r="N56" s="243">
        <f t="shared" si="7"/>
        <v>0</v>
      </c>
      <c r="O56" s="244">
        <f t="shared" si="8"/>
        <v>0</v>
      </c>
      <c r="P56" s="244">
        <f t="shared" si="9"/>
        <v>0</v>
      </c>
      <c r="Q56" s="245">
        <f t="shared" si="10"/>
        <v>0</v>
      </c>
      <c r="R56" s="246">
        <f t="shared" si="11"/>
        <v>0</v>
      </c>
      <c r="S56" s="247" t="e">
        <f t="shared" si="12"/>
        <v>#DIV/0!</v>
      </c>
      <c r="T56" s="247" t="e">
        <f t="shared" si="5"/>
        <v>#DIV/0!</v>
      </c>
      <c r="U56" s="89"/>
      <c r="V56" s="241" t="str">
        <f t="shared" si="6"/>
        <v/>
      </c>
      <c r="W56" s="112" t="str">
        <f t="shared" si="13"/>
        <v/>
      </c>
      <c r="X56" s="294" t="str">
        <f>IF($F56="","",INDEX('Bobrick Material Pricing 2025'!$A$2:$C$1000,MATCH($F56,'Bobrick Material Pricing 2025'!$A$2:$A$1000,0),3))</f>
        <v/>
      </c>
      <c r="Y56" s="295" t="str">
        <f>IF($F56="","",INDEX('Bobrick Labor Factors'!$A$2:$E$556,MATCH($F56,'Bobrick Labor Factors'!$A$2:$A$556,0),5))</f>
        <v/>
      </c>
      <c r="Z56" s="239" t="str">
        <f>IF($F56="","",INDEX('Bobrick Material Pricing 2025'!$A$2:$C$1000,MATCH($F56,'Bobrick Material Pricing 2025'!$A$2:$A$1000,0),2))</f>
        <v/>
      </c>
    </row>
    <row r="57" spans="1:26" s="248" customFormat="1" ht="12.75" customHeight="1">
      <c r="A57" s="240">
        <v>49</v>
      </c>
      <c r="B57" s="178"/>
      <c r="C57" s="112"/>
      <c r="D57" s="215"/>
      <c r="E57" s="112"/>
      <c r="F57" s="222"/>
      <c r="G57" s="178"/>
      <c r="H57" s="178"/>
      <c r="I57" s="294">
        <f>'summary sheet'!$E$2</f>
        <v>120</v>
      </c>
      <c r="J57" s="313">
        <f t="shared" si="0"/>
        <v>0</v>
      </c>
      <c r="K57" s="241">
        <v>0</v>
      </c>
      <c r="L57" s="241">
        <v>0</v>
      </c>
      <c r="M57" s="242">
        <v>0</v>
      </c>
      <c r="N57" s="243">
        <f t="shared" si="7"/>
        <v>0</v>
      </c>
      <c r="O57" s="244">
        <f t="shared" si="8"/>
        <v>0</v>
      </c>
      <c r="P57" s="244">
        <f t="shared" si="9"/>
        <v>0</v>
      </c>
      <c r="Q57" s="245">
        <f t="shared" si="10"/>
        <v>0</v>
      </c>
      <c r="R57" s="246">
        <f t="shared" si="11"/>
        <v>0</v>
      </c>
      <c r="S57" s="247" t="e">
        <f t="shared" si="12"/>
        <v>#DIV/0!</v>
      </c>
      <c r="T57" s="247" t="e">
        <f t="shared" si="5"/>
        <v>#DIV/0!</v>
      </c>
      <c r="U57" s="89"/>
      <c r="V57" s="241" t="str">
        <f t="shared" si="6"/>
        <v/>
      </c>
      <c r="W57" s="112" t="str">
        <f t="shared" si="13"/>
        <v/>
      </c>
      <c r="X57" s="294" t="str">
        <f>IF($F57="","",INDEX('Bobrick Material Pricing 2025'!$A$2:$C$1000,MATCH($F57,'Bobrick Material Pricing 2025'!$A$2:$A$1000,0),3))</f>
        <v/>
      </c>
      <c r="Y57" s="295" t="str">
        <f>IF($F57="","",INDEX('Bobrick Labor Factors'!$A$2:$E$556,MATCH($F57,'Bobrick Labor Factors'!$A$2:$A$556,0),5))</f>
        <v/>
      </c>
      <c r="Z57" s="239" t="str">
        <f>IF($F57="","",INDEX('Bobrick Material Pricing 2025'!$A$2:$C$1000,MATCH($F57,'Bobrick Material Pricing 2025'!$A$2:$A$1000,0),2))</f>
        <v/>
      </c>
    </row>
    <row r="58" spans="1:26" s="248" customFormat="1" ht="12.75" customHeight="1" thickBot="1">
      <c r="A58" s="240">
        <v>50</v>
      </c>
      <c r="B58" s="178"/>
      <c r="C58" s="112"/>
      <c r="D58" s="215"/>
      <c r="E58" s="112"/>
      <c r="F58" s="222"/>
      <c r="G58" s="178"/>
      <c r="H58" s="178"/>
      <c r="I58" s="294">
        <f>'summary sheet'!$E$2</f>
        <v>120</v>
      </c>
      <c r="J58" s="313">
        <f t="shared" si="0"/>
        <v>0</v>
      </c>
      <c r="K58" s="241">
        <v>0</v>
      </c>
      <c r="L58" s="241">
        <v>0</v>
      </c>
      <c r="M58" s="242">
        <v>0</v>
      </c>
      <c r="N58" s="243">
        <f t="shared" si="7"/>
        <v>0</v>
      </c>
      <c r="O58" s="244">
        <f t="shared" si="8"/>
        <v>0</v>
      </c>
      <c r="P58" s="244">
        <f t="shared" si="9"/>
        <v>0</v>
      </c>
      <c r="Q58" s="245">
        <f t="shared" si="10"/>
        <v>0</v>
      </c>
      <c r="R58" s="246">
        <f t="shared" si="11"/>
        <v>0</v>
      </c>
      <c r="S58" s="247" t="e">
        <f t="shared" si="12"/>
        <v>#DIV/0!</v>
      </c>
      <c r="T58" s="247" t="e">
        <f t="shared" si="5"/>
        <v>#DIV/0!</v>
      </c>
      <c r="U58" s="89"/>
      <c r="V58" s="241" t="str">
        <f t="shared" si="6"/>
        <v/>
      </c>
      <c r="W58" s="112" t="str">
        <f t="shared" si="13"/>
        <v/>
      </c>
      <c r="X58" s="294" t="str">
        <f>IF($F58="","",INDEX('Bobrick Material Pricing 2025'!$A$2:$C$1000,MATCH($F58,'Bobrick Material Pricing 2025'!$A$2:$A$1000,0),3))</f>
        <v/>
      </c>
      <c r="Y58" s="295" t="str">
        <f>IF($F58="","",INDEX('Bobrick Labor Factors'!$A$2:$E$556,MATCH($F58,'Bobrick Labor Factors'!$A$2:$A$556,0),5))</f>
        <v/>
      </c>
      <c r="Z58" s="239" t="str">
        <f>IF($F58="","",INDEX('Bobrick Material Pricing 2025'!$A$2:$C$1000,MATCH($F58,'Bobrick Material Pricing 2025'!$A$2:$A$1000,0),2))</f>
        <v/>
      </c>
    </row>
    <row r="59" spans="1:26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6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6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6" ht="13.8" thickTop="1">
      <c r="A62" s="39"/>
      <c r="B62" s="172"/>
      <c r="C62" s="39"/>
      <c r="D62" s="216"/>
      <c r="E62" s="39"/>
      <c r="F62" s="39"/>
      <c r="G62" s="172"/>
      <c r="H62" s="172"/>
      <c r="I62" s="39"/>
      <c r="J62" s="39"/>
      <c r="K62" s="39"/>
      <c r="L62" s="39"/>
      <c r="M62" s="39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6" ht="13.8" thickBot="1">
      <c r="A63" s="39"/>
      <c r="B63" s="172"/>
      <c r="C63" s="39"/>
      <c r="D63" s="216"/>
      <c r="E63" s="39"/>
      <c r="F63" s="39"/>
      <c r="G63" s="172"/>
      <c r="H63" s="172"/>
      <c r="I63" s="39"/>
      <c r="J63" s="39"/>
      <c r="K63" s="39"/>
      <c r="L63" s="39"/>
      <c r="M63" s="39"/>
      <c r="N63" s="67"/>
      <c r="O63" s="42"/>
      <c r="P63" s="43"/>
      <c r="Q63" s="47"/>
      <c r="R63" s="80"/>
      <c r="S63" s="210"/>
      <c r="T63" s="210"/>
    </row>
    <row r="64" spans="1:26" ht="13.8" thickTop="1">
      <c r="A64" s="39"/>
      <c r="B64" s="172"/>
      <c r="C64" s="39"/>
      <c r="D64" s="216"/>
      <c r="E64" s="39"/>
      <c r="F64" s="39"/>
      <c r="G64" s="172"/>
      <c r="H64" s="172"/>
      <c r="I64" s="39"/>
      <c r="J64" s="39"/>
      <c r="K64" s="39"/>
      <c r="L64" s="39"/>
      <c r="M64" s="39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28">SUM(O64)*Q64</f>
        <v>0</v>
      </c>
      <c r="S64" s="211"/>
      <c r="T64" s="211"/>
    </row>
    <row r="65" spans="1:21">
      <c r="A65" s="39"/>
      <c r="B65" s="172"/>
      <c r="C65" s="39"/>
      <c r="D65" s="216"/>
      <c r="E65" s="39"/>
      <c r="F65" s="39"/>
      <c r="G65" s="172"/>
      <c r="H65" s="172"/>
      <c r="I65" s="39"/>
      <c r="J65" s="39"/>
      <c r="K65" s="39"/>
      <c r="L65" s="39"/>
      <c r="M65" s="39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216"/>
      <c r="E66" s="39"/>
      <c r="F66" s="39"/>
      <c r="G66" s="172"/>
      <c r="H66" s="172"/>
      <c r="I66" s="39"/>
      <c r="J66" s="39"/>
      <c r="K66" s="39"/>
      <c r="L66" s="39"/>
      <c r="M66" s="39"/>
      <c r="N66" s="116" t="s">
        <v>56</v>
      </c>
      <c r="O66" s="286" t="str">
        <f>IF($N$59=0,"0",1)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>SUM(O68)*Q68</f>
        <v>0</v>
      </c>
      <c r="S68" s="211"/>
      <c r="T68" s="211"/>
    </row>
    <row r="69" spans="1:21">
      <c r="N69" s="117" t="s">
        <v>27</v>
      </c>
      <c r="O69" s="287">
        <v>1</v>
      </c>
      <c r="P69" s="115" t="s">
        <v>28</v>
      </c>
      <c r="Q69" s="288">
        <v>0</v>
      </c>
      <c r="R69" s="38">
        <f>SUM(O69)*Q69</f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  <c r="T75" s="213"/>
    </row>
    <row r="76" spans="1:21"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T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R79-S75</f>
        <v>#DIV/0!</v>
      </c>
      <c r="T77" s="52"/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</row>
    <row r="80" spans="1:21" ht="13.8" thickTop="1">
      <c r="N80" s="52"/>
      <c r="O80" s="53"/>
      <c r="P80" s="52"/>
      <c r="Q80" s="52"/>
      <c r="R80" s="52"/>
      <c r="S80" s="52"/>
      <c r="T80" s="52"/>
    </row>
    <row r="100" spans="3:7" hidden="1">
      <c r="E100" s="49" t="s">
        <v>68</v>
      </c>
    </row>
    <row r="101" spans="3:7" hidden="1">
      <c r="E101" s="49" t="s">
        <v>69</v>
      </c>
      <c r="F101" s="49" t="s">
        <v>70</v>
      </c>
    </row>
    <row r="102" spans="3:7" hidden="1">
      <c r="C102" s="49" t="s">
        <v>71</v>
      </c>
      <c r="E102" s="230">
        <f>N59+R67+R68</f>
        <v>0</v>
      </c>
      <c r="F102" s="230"/>
    </row>
    <row r="103" spans="3:7" hidden="1">
      <c r="C103" s="49" t="s">
        <v>72</v>
      </c>
      <c r="E103" s="230">
        <f>R65</f>
        <v>0</v>
      </c>
      <c r="F103" s="230"/>
    </row>
    <row r="104" spans="3:7" hidden="1">
      <c r="C104" s="49" t="s">
        <v>73</v>
      </c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E105" s="230">
        <f>R64</f>
        <v>0</v>
      </c>
      <c r="F105" s="230">
        <v>0</v>
      </c>
    </row>
    <row r="106" spans="3:7" hidden="1">
      <c r="C106" s="49" t="s">
        <v>75</v>
      </c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E109" s="230">
        <f>F108</f>
        <v>0</v>
      </c>
      <c r="F109" s="230"/>
    </row>
    <row r="110" spans="3:7" hidden="1">
      <c r="C110" s="49" t="s">
        <v>79</v>
      </c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A61:Q61"/>
    <mergeCell ref="S7:S8"/>
    <mergeCell ref="T7:T8"/>
    <mergeCell ref="A5:B5"/>
    <mergeCell ref="A59:M59"/>
    <mergeCell ref="A60:Q60"/>
  </mergeCells>
  <phoneticPr fontId="16" type="noConversion"/>
  <pageMargins left="0.7" right="0.7" top="0.75" bottom="0.75" header="0.3" footer="0.3"/>
  <pageSetup paperSize="17" scale="78" fitToHeight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B9" sqref="B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7" width="8.6640625" style="49" customWidth="1"/>
    <col min="8" max="8" width="8.6640625" style="169" customWidth="1"/>
    <col min="9" max="9" width="8.6640625" style="49" customWidth="1"/>
    <col min="10" max="13" width="10.6640625" style="49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48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48"/>
    </row>
    <row r="3" spans="1:22" ht="14.4" customHeight="1">
      <c r="A3" s="110" t="str" cm="1">
        <f t="array" aca="1" ref="A3" ca="1">CONCATENATE("SCOPE: ",MID(CELL("filename",A1),FIND("]",CELL("filename",A1))+1,255))</f>
        <v>SCOPE: Toilet Compartments</v>
      </c>
      <c r="B3" s="176"/>
      <c r="C3" s="110"/>
      <c r="D3" s="176"/>
      <c r="E3" s="110"/>
      <c r="F3" s="12"/>
      <c r="G3" s="48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48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48"/>
      <c r="M5" s="50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7"/>
      <c r="H6" s="170"/>
      <c r="I6" s="296"/>
      <c r="J6" s="310" t="s">
        <v>20</v>
      </c>
      <c r="K6" s="8"/>
      <c r="L6" s="8"/>
      <c r="M6" s="9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21" t="s">
        <v>51</v>
      </c>
      <c r="E7" s="5" t="s">
        <v>2</v>
      </c>
      <c r="F7" s="25" t="s">
        <v>13</v>
      </c>
      <c r="G7" s="168" t="s">
        <v>50</v>
      </c>
      <c r="H7" s="167" t="s">
        <v>48</v>
      </c>
      <c r="I7" s="306" t="s">
        <v>49</v>
      </c>
      <c r="J7" s="311" t="s">
        <v>5</v>
      </c>
      <c r="K7" s="10" t="s">
        <v>6</v>
      </c>
      <c r="L7" s="10" t="s">
        <v>10</v>
      </c>
      <c r="M7" s="11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5"/>
      <c r="I8" s="35"/>
      <c r="J8" s="312"/>
      <c r="K8" s="17"/>
      <c r="L8" s="16"/>
      <c r="M8" s="18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2.75" customHeight="1" thickTop="1">
      <c r="A9" s="226">
        <v>1</v>
      </c>
      <c r="B9" s="178"/>
      <c r="C9" s="112"/>
      <c r="D9" s="261"/>
      <c r="E9" s="112"/>
      <c r="F9" s="262"/>
      <c r="G9" s="171"/>
      <c r="H9" s="171"/>
      <c r="I9" s="308">
        <f>'summary sheet'!$E$2</f>
        <v>120</v>
      </c>
      <c r="J9" s="315">
        <f>SUM(I9*H9)*G9</f>
        <v>0</v>
      </c>
      <c r="K9" s="118">
        <v>0</v>
      </c>
      <c r="L9" s="118">
        <v>0</v>
      </c>
      <c r="M9" s="119">
        <v>0</v>
      </c>
      <c r="N9" s="54">
        <f>J9</f>
        <v>0</v>
      </c>
      <c r="O9" s="55">
        <f t="shared" ref="O9:O40" si="0">SUM(G9)*K9</f>
        <v>0</v>
      </c>
      <c r="P9" s="55">
        <f t="shared" ref="P9:P40" si="1">SUM(L9)</f>
        <v>0</v>
      </c>
      <c r="Q9" s="56">
        <f>M9</f>
        <v>0</v>
      </c>
      <c r="R9" s="77">
        <f t="shared" ref="R9:R40" si="2">SUM(N9:Q9)</f>
        <v>0</v>
      </c>
      <c r="S9" s="247" t="e">
        <f>(R9/($R$61-$R$60))*SUM($R$64:$R$69,$R$71:$R$72,$R$74,$R$76,$R$78,$R$60)+R9</f>
        <v>#DIV/0!</v>
      </c>
      <c r="T9" s="206" t="e">
        <f t="shared" ref="T9:T58" si="3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9">
        <f>'summary sheet'!$E$2</f>
        <v>120</v>
      </c>
      <c r="J10" s="315">
        <f t="shared" ref="J10:J40" si="4">SUM(I10*H10)*G10</f>
        <v>0</v>
      </c>
      <c r="K10" s="118">
        <v>0</v>
      </c>
      <c r="L10" s="118">
        <v>0</v>
      </c>
      <c r="M10" s="119">
        <v>0</v>
      </c>
      <c r="N10" s="54">
        <f t="shared" ref="N10:N40" si="5">J10</f>
        <v>0</v>
      </c>
      <c r="O10" s="55">
        <f t="shared" si="0"/>
        <v>0</v>
      </c>
      <c r="P10" s="55">
        <f t="shared" si="1"/>
        <v>0</v>
      </c>
      <c r="Q10" s="56">
        <f t="shared" ref="Q10:Q40" si="6">M10</f>
        <v>0</v>
      </c>
      <c r="R10" s="77">
        <f t="shared" si="2"/>
        <v>0</v>
      </c>
      <c r="S10" s="247" t="e">
        <f t="shared" ref="S10:S58" si="7">(R10/($R$61-$R$60))*SUM($R$64:$R$69,$R$71:$R$72,$R$74,$R$76,$R$78,$R$60)+R10</f>
        <v>#DIV/0!</v>
      </c>
      <c r="T10" s="206" t="e">
        <f t="shared" ref="T10:T40" si="8">S10/G10</f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9">
        <f>'summary sheet'!$E$2</f>
        <v>120</v>
      </c>
      <c r="J11" s="315">
        <f t="shared" si="4"/>
        <v>0</v>
      </c>
      <c r="K11" s="118">
        <v>0</v>
      </c>
      <c r="L11" s="118">
        <v>0</v>
      </c>
      <c r="M11" s="119">
        <v>0</v>
      </c>
      <c r="N11" s="54">
        <f t="shared" si="5"/>
        <v>0</v>
      </c>
      <c r="O11" s="55">
        <f t="shared" si="0"/>
        <v>0</v>
      </c>
      <c r="P11" s="55">
        <f t="shared" si="1"/>
        <v>0</v>
      </c>
      <c r="Q11" s="56">
        <f t="shared" si="6"/>
        <v>0</v>
      </c>
      <c r="R11" s="77">
        <f t="shared" si="2"/>
        <v>0</v>
      </c>
      <c r="S11" s="247" t="e">
        <f t="shared" si="7"/>
        <v>#DIV/0!</v>
      </c>
      <c r="T11" s="206" t="e">
        <f t="shared" si="8"/>
        <v>#DIV/0!</v>
      </c>
      <c r="U11" s="89"/>
    </row>
    <row r="12" spans="1:22" ht="13.2" customHeight="1">
      <c r="A12" s="226">
        <v>4</v>
      </c>
      <c r="B12" s="178"/>
      <c r="C12" s="112"/>
      <c r="D12" s="89"/>
      <c r="E12" s="112"/>
      <c r="F12" s="112"/>
      <c r="G12" s="171"/>
      <c r="H12" s="225"/>
      <c r="I12" s="309">
        <f>'summary sheet'!$E$2</f>
        <v>120</v>
      </c>
      <c r="J12" s="315">
        <f t="shared" si="4"/>
        <v>0</v>
      </c>
      <c r="K12" s="118">
        <v>0</v>
      </c>
      <c r="L12" s="118">
        <v>0</v>
      </c>
      <c r="M12" s="119">
        <v>0</v>
      </c>
      <c r="N12" s="54">
        <f t="shared" si="5"/>
        <v>0</v>
      </c>
      <c r="O12" s="55">
        <f t="shared" si="0"/>
        <v>0</v>
      </c>
      <c r="P12" s="55">
        <f t="shared" si="1"/>
        <v>0</v>
      </c>
      <c r="Q12" s="56">
        <f t="shared" si="6"/>
        <v>0</v>
      </c>
      <c r="R12" s="77">
        <f t="shared" si="2"/>
        <v>0</v>
      </c>
      <c r="S12" s="247" t="e">
        <f t="shared" si="7"/>
        <v>#DIV/0!</v>
      </c>
      <c r="T12" s="206" t="e">
        <f t="shared" si="8"/>
        <v>#DIV/0!</v>
      </c>
      <c r="U12" s="89"/>
    </row>
    <row r="13" spans="1:22" ht="13.2" customHeight="1">
      <c r="A13" s="226">
        <v>5</v>
      </c>
      <c r="B13" s="178"/>
      <c r="C13" s="112"/>
      <c r="D13" s="89"/>
      <c r="E13" s="112"/>
      <c r="F13" s="112"/>
      <c r="G13" s="171"/>
      <c r="H13" s="225"/>
      <c r="I13" s="309">
        <f>'summary sheet'!$E$2</f>
        <v>120</v>
      </c>
      <c r="J13" s="315">
        <f t="shared" si="4"/>
        <v>0</v>
      </c>
      <c r="K13" s="118">
        <v>0</v>
      </c>
      <c r="L13" s="118">
        <v>0</v>
      </c>
      <c r="M13" s="119">
        <v>0</v>
      </c>
      <c r="N13" s="54">
        <f t="shared" si="5"/>
        <v>0</v>
      </c>
      <c r="O13" s="55">
        <f t="shared" si="0"/>
        <v>0</v>
      </c>
      <c r="P13" s="55">
        <f t="shared" si="1"/>
        <v>0</v>
      </c>
      <c r="Q13" s="56">
        <f t="shared" si="6"/>
        <v>0</v>
      </c>
      <c r="R13" s="77">
        <f t="shared" si="2"/>
        <v>0</v>
      </c>
      <c r="S13" s="247" t="e">
        <f t="shared" si="7"/>
        <v>#DIV/0!</v>
      </c>
      <c r="T13" s="206" t="e">
        <f t="shared" si="8"/>
        <v>#DIV/0!</v>
      </c>
      <c r="U13" s="89"/>
    </row>
    <row r="14" spans="1:22">
      <c r="A14" s="226">
        <v>6</v>
      </c>
      <c r="B14" s="178"/>
      <c r="C14" s="112"/>
      <c r="D14" s="89"/>
      <c r="E14" s="112"/>
      <c r="F14" s="112"/>
      <c r="G14" s="171"/>
      <c r="H14" s="225"/>
      <c r="I14" s="309">
        <f>'summary sheet'!$E$2</f>
        <v>120</v>
      </c>
      <c r="J14" s="315">
        <f t="shared" si="4"/>
        <v>0</v>
      </c>
      <c r="K14" s="118">
        <v>0</v>
      </c>
      <c r="L14" s="118">
        <v>0</v>
      </c>
      <c r="M14" s="119">
        <v>0</v>
      </c>
      <c r="N14" s="54">
        <f t="shared" si="5"/>
        <v>0</v>
      </c>
      <c r="O14" s="55">
        <f t="shared" si="0"/>
        <v>0</v>
      </c>
      <c r="P14" s="55">
        <f t="shared" si="1"/>
        <v>0</v>
      </c>
      <c r="Q14" s="56">
        <f t="shared" si="6"/>
        <v>0</v>
      </c>
      <c r="R14" s="77">
        <f t="shared" si="2"/>
        <v>0</v>
      </c>
      <c r="S14" s="247" t="e">
        <f t="shared" si="7"/>
        <v>#DIV/0!</v>
      </c>
      <c r="T14" s="206" t="e">
        <f t="shared" si="8"/>
        <v>#DIV/0!</v>
      </c>
      <c r="U14" s="185"/>
      <c r="V14" s="84"/>
    </row>
    <row r="15" spans="1:22" ht="13.2" customHeight="1">
      <c r="A15" s="226">
        <v>7</v>
      </c>
      <c r="B15" s="178"/>
      <c r="C15" s="112"/>
      <c r="D15" s="89"/>
      <c r="E15" s="112"/>
      <c r="F15" s="112"/>
      <c r="G15" s="171"/>
      <c r="H15" s="225"/>
      <c r="I15" s="309">
        <f>'summary sheet'!$E$2</f>
        <v>120</v>
      </c>
      <c r="J15" s="315">
        <f t="shared" si="4"/>
        <v>0</v>
      </c>
      <c r="K15" s="118">
        <v>0</v>
      </c>
      <c r="L15" s="118">
        <v>0</v>
      </c>
      <c r="M15" s="119">
        <v>0</v>
      </c>
      <c r="N15" s="54">
        <f t="shared" si="5"/>
        <v>0</v>
      </c>
      <c r="O15" s="55">
        <f t="shared" si="0"/>
        <v>0</v>
      </c>
      <c r="P15" s="55">
        <f t="shared" si="1"/>
        <v>0</v>
      </c>
      <c r="Q15" s="56">
        <f t="shared" si="6"/>
        <v>0</v>
      </c>
      <c r="R15" s="77">
        <f t="shared" si="2"/>
        <v>0</v>
      </c>
      <c r="S15" s="247" t="e">
        <f t="shared" si="7"/>
        <v>#DIV/0!</v>
      </c>
      <c r="T15" s="206" t="e">
        <f t="shared" si="8"/>
        <v>#DIV/0!</v>
      </c>
      <c r="U15" s="186"/>
      <c r="V15" s="84"/>
    </row>
    <row r="16" spans="1:22" ht="13.2" customHeight="1">
      <c r="A16" s="226">
        <v>8</v>
      </c>
      <c r="B16" s="178"/>
      <c r="C16" s="112"/>
      <c r="D16" s="89"/>
      <c r="E16" s="112"/>
      <c r="F16" s="112"/>
      <c r="G16" s="171"/>
      <c r="H16" s="225"/>
      <c r="I16" s="309">
        <f>'summary sheet'!$E$2</f>
        <v>120</v>
      </c>
      <c r="J16" s="315">
        <f t="shared" si="4"/>
        <v>0</v>
      </c>
      <c r="K16" s="118">
        <v>0</v>
      </c>
      <c r="L16" s="118">
        <v>0</v>
      </c>
      <c r="M16" s="119">
        <v>0</v>
      </c>
      <c r="N16" s="54">
        <f t="shared" si="5"/>
        <v>0</v>
      </c>
      <c r="O16" s="55">
        <f t="shared" si="0"/>
        <v>0</v>
      </c>
      <c r="P16" s="55">
        <f t="shared" si="1"/>
        <v>0</v>
      </c>
      <c r="Q16" s="56">
        <f t="shared" si="6"/>
        <v>0</v>
      </c>
      <c r="R16" s="77">
        <f t="shared" si="2"/>
        <v>0</v>
      </c>
      <c r="S16" s="247" t="e">
        <f t="shared" si="7"/>
        <v>#DIV/0!</v>
      </c>
      <c r="T16" s="206" t="e">
        <f t="shared" si="8"/>
        <v>#DIV/0!</v>
      </c>
      <c r="U16" s="89"/>
    </row>
    <row r="17" spans="1:22" ht="13.2" customHeight="1">
      <c r="A17" s="226">
        <v>9</v>
      </c>
      <c r="B17" s="178"/>
      <c r="C17" s="112"/>
      <c r="D17" s="89"/>
      <c r="E17" s="112"/>
      <c r="F17" s="112"/>
      <c r="G17" s="171"/>
      <c r="H17" s="225"/>
      <c r="I17" s="309">
        <f>'summary sheet'!$E$2</f>
        <v>120</v>
      </c>
      <c r="J17" s="315">
        <f t="shared" si="4"/>
        <v>0</v>
      </c>
      <c r="K17" s="118">
        <v>0</v>
      </c>
      <c r="L17" s="118">
        <v>0</v>
      </c>
      <c r="M17" s="119">
        <v>0</v>
      </c>
      <c r="N17" s="54">
        <f t="shared" si="5"/>
        <v>0</v>
      </c>
      <c r="O17" s="55">
        <f t="shared" si="0"/>
        <v>0</v>
      </c>
      <c r="P17" s="55">
        <f t="shared" si="1"/>
        <v>0</v>
      </c>
      <c r="Q17" s="56">
        <f t="shared" si="6"/>
        <v>0</v>
      </c>
      <c r="R17" s="77">
        <f t="shared" si="2"/>
        <v>0</v>
      </c>
      <c r="S17" s="247" t="e">
        <f t="shared" si="7"/>
        <v>#DIV/0!</v>
      </c>
      <c r="T17" s="206" t="e">
        <f t="shared" si="8"/>
        <v>#DIV/0!</v>
      </c>
      <c r="U17" s="89"/>
    </row>
    <row r="18" spans="1:22">
      <c r="A18" s="226">
        <v>10</v>
      </c>
      <c r="B18" s="178"/>
      <c r="C18" s="112"/>
      <c r="D18" s="89"/>
      <c r="E18" s="112"/>
      <c r="F18" s="112"/>
      <c r="G18" s="171"/>
      <c r="H18" s="225"/>
      <c r="I18" s="309">
        <f>'summary sheet'!$E$2</f>
        <v>120</v>
      </c>
      <c r="J18" s="315">
        <f t="shared" si="4"/>
        <v>0</v>
      </c>
      <c r="K18" s="118">
        <v>0</v>
      </c>
      <c r="L18" s="118">
        <v>0</v>
      </c>
      <c r="M18" s="119">
        <v>0</v>
      </c>
      <c r="N18" s="54">
        <f t="shared" si="5"/>
        <v>0</v>
      </c>
      <c r="O18" s="55">
        <f t="shared" si="0"/>
        <v>0</v>
      </c>
      <c r="P18" s="55">
        <f t="shared" si="1"/>
        <v>0</v>
      </c>
      <c r="Q18" s="56">
        <f t="shared" si="6"/>
        <v>0</v>
      </c>
      <c r="R18" s="77">
        <f t="shared" si="2"/>
        <v>0</v>
      </c>
      <c r="S18" s="247" t="e">
        <f t="shared" si="7"/>
        <v>#DIV/0!</v>
      </c>
      <c r="T18" s="206" t="e">
        <f t="shared" si="8"/>
        <v>#DIV/0!</v>
      </c>
      <c r="U18" s="89"/>
    </row>
    <row r="19" spans="1:22">
      <c r="A19" s="226">
        <v>11</v>
      </c>
      <c r="B19" s="178"/>
      <c r="C19" s="112"/>
      <c r="D19" s="89"/>
      <c r="E19" s="112"/>
      <c r="F19" s="112"/>
      <c r="G19" s="171"/>
      <c r="H19" s="225"/>
      <c r="I19" s="309">
        <f>'summary sheet'!$E$2</f>
        <v>120</v>
      </c>
      <c r="J19" s="315">
        <f t="shared" si="4"/>
        <v>0</v>
      </c>
      <c r="K19" s="118">
        <v>0</v>
      </c>
      <c r="L19" s="118">
        <v>0</v>
      </c>
      <c r="M19" s="119">
        <v>0</v>
      </c>
      <c r="N19" s="54">
        <f t="shared" si="5"/>
        <v>0</v>
      </c>
      <c r="O19" s="55">
        <f t="shared" si="0"/>
        <v>0</v>
      </c>
      <c r="P19" s="55">
        <f t="shared" si="1"/>
        <v>0</v>
      </c>
      <c r="Q19" s="56">
        <f t="shared" si="6"/>
        <v>0</v>
      </c>
      <c r="R19" s="77">
        <f t="shared" si="2"/>
        <v>0</v>
      </c>
      <c r="S19" s="247" t="e">
        <f t="shared" si="7"/>
        <v>#DIV/0!</v>
      </c>
      <c r="T19" s="206" t="e">
        <f t="shared" si="8"/>
        <v>#DIV/0!</v>
      </c>
      <c r="U19" s="89"/>
    </row>
    <row r="20" spans="1:22">
      <c r="A20" s="226">
        <v>12</v>
      </c>
      <c r="B20" s="178"/>
      <c r="C20" s="112"/>
      <c r="D20" s="89"/>
      <c r="E20" s="112"/>
      <c r="F20" s="112"/>
      <c r="G20" s="171"/>
      <c r="H20" s="225"/>
      <c r="I20" s="309">
        <f>'summary sheet'!$E$2</f>
        <v>120</v>
      </c>
      <c r="J20" s="315">
        <f t="shared" si="4"/>
        <v>0</v>
      </c>
      <c r="K20" s="118">
        <v>0</v>
      </c>
      <c r="L20" s="118">
        <v>0</v>
      </c>
      <c r="M20" s="119">
        <v>0</v>
      </c>
      <c r="N20" s="54">
        <f t="shared" si="5"/>
        <v>0</v>
      </c>
      <c r="O20" s="55">
        <f t="shared" si="0"/>
        <v>0</v>
      </c>
      <c r="P20" s="55">
        <f t="shared" si="1"/>
        <v>0</v>
      </c>
      <c r="Q20" s="56">
        <f t="shared" si="6"/>
        <v>0</v>
      </c>
      <c r="R20" s="77">
        <f t="shared" si="2"/>
        <v>0</v>
      </c>
      <c r="S20" s="247" t="e">
        <f t="shared" si="7"/>
        <v>#DIV/0!</v>
      </c>
      <c r="T20" s="206" t="e">
        <f t="shared" si="8"/>
        <v>#DIV/0!</v>
      </c>
      <c r="U20" s="89"/>
    </row>
    <row r="21" spans="1:22">
      <c r="A21" s="226">
        <v>13</v>
      </c>
      <c r="B21" s="178"/>
      <c r="C21" s="112"/>
      <c r="D21" s="89"/>
      <c r="E21" s="112"/>
      <c r="F21" s="112"/>
      <c r="G21" s="171"/>
      <c r="H21" s="225"/>
      <c r="I21" s="309">
        <f>'summary sheet'!$E$2</f>
        <v>120</v>
      </c>
      <c r="J21" s="315">
        <f t="shared" ref="J21:J33" si="9">SUM(I21*H21)*G21</f>
        <v>0</v>
      </c>
      <c r="K21" s="118">
        <v>0</v>
      </c>
      <c r="L21" s="118">
        <v>0</v>
      </c>
      <c r="M21" s="119">
        <v>0</v>
      </c>
      <c r="N21" s="54">
        <f t="shared" ref="N21:N33" si="10">J21</f>
        <v>0</v>
      </c>
      <c r="O21" s="55">
        <f t="shared" ref="O21:O33" si="11">SUM(G21)*K21</f>
        <v>0</v>
      </c>
      <c r="P21" s="55">
        <f t="shared" ref="P21:P33" si="12">SUM(L21)</f>
        <v>0</v>
      </c>
      <c r="Q21" s="56">
        <f t="shared" ref="Q21:Q33" si="13">M21</f>
        <v>0</v>
      </c>
      <c r="R21" s="77">
        <f t="shared" ref="R21:R33" si="14">SUM(N21:Q21)</f>
        <v>0</v>
      </c>
      <c r="S21" s="247" t="e">
        <f t="shared" si="7"/>
        <v>#DIV/0!</v>
      </c>
      <c r="T21" s="206" t="e">
        <f t="shared" ref="T21:T33" si="15">S21/G21</f>
        <v>#DIV/0!</v>
      </c>
      <c r="U21" s="89"/>
    </row>
    <row r="22" spans="1:22">
      <c r="A22" s="226">
        <v>14</v>
      </c>
      <c r="B22" s="178"/>
      <c r="C22" s="112"/>
      <c r="D22" s="89"/>
      <c r="E22" s="112"/>
      <c r="F22" s="112"/>
      <c r="G22" s="171"/>
      <c r="H22" s="225"/>
      <c r="I22" s="309">
        <f>'summary sheet'!$E$2</f>
        <v>120</v>
      </c>
      <c r="J22" s="315">
        <f t="shared" si="9"/>
        <v>0</v>
      </c>
      <c r="K22" s="118">
        <v>0</v>
      </c>
      <c r="L22" s="118">
        <v>0</v>
      </c>
      <c r="M22" s="119">
        <v>0</v>
      </c>
      <c r="N22" s="54">
        <f t="shared" si="10"/>
        <v>0</v>
      </c>
      <c r="O22" s="55">
        <f t="shared" si="11"/>
        <v>0</v>
      </c>
      <c r="P22" s="55">
        <f t="shared" si="12"/>
        <v>0</v>
      </c>
      <c r="Q22" s="56">
        <f t="shared" si="13"/>
        <v>0</v>
      </c>
      <c r="R22" s="77">
        <f t="shared" si="14"/>
        <v>0</v>
      </c>
      <c r="S22" s="247" t="e">
        <f t="shared" si="7"/>
        <v>#DIV/0!</v>
      </c>
      <c r="T22" s="206" t="e">
        <f t="shared" si="15"/>
        <v>#DIV/0!</v>
      </c>
      <c r="U22" s="89"/>
    </row>
    <row r="23" spans="1:22" ht="13.8" thickBot="1">
      <c r="A23" s="226">
        <v>15</v>
      </c>
      <c r="B23" s="178"/>
      <c r="C23" s="112"/>
      <c r="D23" s="89"/>
      <c r="E23" s="112"/>
      <c r="F23" s="112"/>
      <c r="G23" s="171"/>
      <c r="H23" s="225"/>
      <c r="I23" s="309">
        <f>'summary sheet'!$E$2</f>
        <v>120</v>
      </c>
      <c r="J23" s="315">
        <f t="shared" si="9"/>
        <v>0</v>
      </c>
      <c r="K23" s="118">
        <v>0</v>
      </c>
      <c r="L23" s="118">
        <v>0</v>
      </c>
      <c r="M23" s="119">
        <v>0</v>
      </c>
      <c r="N23" s="54">
        <f t="shared" si="10"/>
        <v>0</v>
      </c>
      <c r="O23" s="55">
        <f t="shared" si="11"/>
        <v>0</v>
      </c>
      <c r="P23" s="55">
        <f t="shared" si="12"/>
        <v>0</v>
      </c>
      <c r="Q23" s="56">
        <f t="shared" si="13"/>
        <v>0</v>
      </c>
      <c r="R23" s="77">
        <f t="shared" si="14"/>
        <v>0</v>
      </c>
      <c r="S23" s="247" t="e">
        <f t="shared" si="7"/>
        <v>#DIV/0!</v>
      </c>
      <c r="T23" s="206" t="e">
        <f t="shared" si="15"/>
        <v>#DIV/0!</v>
      </c>
      <c r="U23" s="89"/>
    </row>
    <row r="24" spans="1:22" hidden="1">
      <c r="A24" s="226">
        <v>16</v>
      </c>
      <c r="B24" s="178"/>
      <c r="C24" s="112"/>
      <c r="D24" s="89"/>
      <c r="E24" s="112"/>
      <c r="F24" s="112"/>
      <c r="G24" s="171"/>
      <c r="H24" s="225"/>
      <c r="I24" s="309">
        <f>'summary sheet'!$E$2</f>
        <v>120</v>
      </c>
      <c r="J24" s="315">
        <f t="shared" si="9"/>
        <v>0</v>
      </c>
      <c r="K24" s="118">
        <v>0</v>
      </c>
      <c r="L24" s="118">
        <v>0</v>
      </c>
      <c r="M24" s="119">
        <v>0</v>
      </c>
      <c r="N24" s="54">
        <f t="shared" si="10"/>
        <v>0</v>
      </c>
      <c r="O24" s="55">
        <f t="shared" si="11"/>
        <v>0</v>
      </c>
      <c r="P24" s="55">
        <f t="shared" si="12"/>
        <v>0</v>
      </c>
      <c r="Q24" s="56">
        <f t="shared" si="13"/>
        <v>0</v>
      </c>
      <c r="R24" s="77">
        <f t="shared" si="14"/>
        <v>0</v>
      </c>
      <c r="S24" s="247" t="e">
        <f t="shared" si="7"/>
        <v>#DIV/0!</v>
      </c>
      <c r="T24" s="206" t="e">
        <f t="shared" si="15"/>
        <v>#DIV/0!</v>
      </c>
      <c r="U24" s="89"/>
    </row>
    <row r="25" spans="1:22" hidden="1">
      <c r="A25" s="226">
        <v>17</v>
      </c>
      <c r="B25" s="178"/>
      <c r="C25" s="112"/>
      <c r="D25" s="89"/>
      <c r="E25" s="112"/>
      <c r="F25" s="112"/>
      <c r="G25" s="171"/>
      <c r="H25" s="225"/>
      <c r="I25" s="309">
        <f>'summary sheet'!$E$2</f>
        <v>120</v>
      </c>
      <c r="J25" s="315">
        <f t="shared" si="9"/>
        <v>0</v>
      </c>
      <c r="K25" s="118">
        <v>0</v>
      </c>
      <c r="L25" s="118">
        <v>0</v>
      </c>
      <c r="M25" s="119">
        <v>0</v>
      </c>
      <c r="N25" s="54">
        <f t="shared" si="10"/>
        <v>0</v>
      </c>
      <c r="O25" s="55">
        <f t="shared" si="11"/>
        <v>0</v>
      </c>
      <c r="P25" s="55">
        <f t="shared" si="12"/>
        <v>0</v>
      </c>
      <c r="Q25" s="56">
        <f t="shared" si="13"/>
        <v>0</v>
      </c>
      <c r="R25" s="77">
        <f t="shared" si="14"/>
        <v>0</v>
      </c>
      <c r="S25" s="247" t="e">
        <f t="shared" si="7"/>
        <v>#DIV/0!</v>
      </c>
      <c r="T25" s="206" t="e">
        <f t="shared" si="15"/>
        <v>#DIV/0!</v>
      </c>
      <c r="U25" s="89"/>
    </row>
    <row r="26" spans="1:22" hidden="1">
      <c r="A26" s="226">
        <v>18</v>
      </c>
      <c r="B26" s="178"/>
      <c r="C26" s="112"/>
      <c r="D26" s="89"/>
      <c r="E26" s="112"/>
      <c r="F26" s="112"/>
      <c r="G26" s="171"/>
      <c r="H26" s="225"/>
      <c r="I26" s="309">
        <f>'summary sheet'!$E$2</f>
        <v>120</v>
      </c>
      <c r="J26" s="315">
        <f t="shared" si="9"/>
        <v>0</v>
      </c>
      <c r="K26" s="118">
        <v>0</v>
      </c>
      <c r="L26" s="118">
        <v>0</v>
      </c>
      <c r="M26" s="119">
        <v>0</v>
      </c>
      <c r="N26" s="54">
        <f t="shared" si="10"/>
        <v>0</v>
      </c>
      <c r="O26" s="55">
        <f t="shared" si="11"/>
        <v>0</v>
      </c>
      <c r="P26" s="55">
        <f t="shared" si="12"/>
        <v>0</v>
      </c>
      <c r="Q26" s="56">
        <f t="shared" si="13"/>
        <v>0</v>
      </c>
      <c r="R26" s="77">
        <f t="shared" si="14"/>
        <v>0</v>
      </c>
      <c r="S26" s="247" t="e">
        <f t="shared" si="7"/>
        <v>#DIV/0!</v>
      </c>
      <c r="T26" s="206" t="e">
        <f t="shared" si="15"/>
        <v>#DIV/0!</v>
      </c>
      <c r="U26" s="89"/>
    </row>
    <row r="27" spans="1:22" hidden="1">
      <c r="A27" s="226">
        <v>19</v>
      </c>
      <c r="B27" s="178"/>
      <c r="C27" s="112"/>
      <c r="D27" s="89"/>
      <c r="E27" s="112"/>
      <c r="F27" s="112"/>
      <c r="G27" s="171"/>
      <c r="H27" s="225"/>
      <c r="I27" s="309">
        <f>'summary sheet'!$E$2</f>
        <v>120</v>
      </c>
      <c r="J27" s="315">
        <f t="shared" si="9"/>
        <v>0</v>
      </c>
      <c r="K27" s="118">
        <v>0</v>
      </c>
      <c r="L27" s="118">
        <v>0</v>
      </c>
      <c r="M27" s="119">
        <v>0</v>
      </c>
      <c r="N27" s="54">
        <f t="shared" si="10"/>
        <v>0</v>
      </c>
      <c r="O27" s="55">
        <f t="shared" si="11"/>
        <v>0</v>
      </c>
      <c r="P27" s="55">
        <f t="shared" si="12"/>
        <v>0</v>
      </c>
      <c r="Q27" s="56">
        <f t="shared" si="13"/>
        <v>0</v>
      </c>
      <c r="R27" s="77">
        <f t="shared" si="14"/>
        <v>0</v>
      </c>
      <c r="S27" s="247" t="e">
        <f t="shared" si="7"/>
        <v>#DIV/0!</v>
      </c>
      <c r="T27" s="206" t="e">
        <f t="shared" si="15"/>
        <v>#DIV/0!</v>
      </c>
      <c r="U27" s="89"/>
    </row>
    <row r="28" spans="1:22" hidden="1">
      <c r="A28" s="226">
        <v>20</v>
      </c>
      <c r="B28" s="178"/>
      <c r="C28" s="112"/>
      <c r="D28" s="89"/>
      <c r="E28" s="112"/>
      <c r="F28" s="112"/>
      <c r="G28" s="171"/>
      <c r="H28" s="225"/>
      <c r="I28" s="309">
        <f>'summary sheet'!$E$2</f>
        <v>120</v>
      </c>
      <c r="J28" s="315">
        <f t="shared" si="9"/>
        <v>0</v>
      </c>
      <c r="K28" s="118">
        <v>0</v>
      </c>
      <c r="L28" s="118">
        <v>0</v>
      </c>
      <c r="M28" s="119">
        <v>0</v>
      </c>
      <c r="N28" s="54">
        <f t="shared" si="10"/>
        <v>0</v>
      </c>
      <c r="O28" s="55">
        <f t="shared" si="11"/>
        <v>0</v>
      </c>
      <c r="P28" s="55">
        <f t="shared" si="12"/>
        <v>0</v>
      </c>
      <c r="Q28" s="56">
        <f t="shared" si="13"/>
        <v>0</v>
      </c>
      <c r="R28" s="77">
        <f t="shared" si="14"/>
        <v>0</v>
      </c>
      <c r="S28" s="247" t="e">
        <f t="shared" si="7"/>
        <v>#DIV/0!</v>
      </c>
      <c r="T28" s="206" t="e">
        <f t="shared" si="15"/>
        <v>#DIV/0!</v>
      </c>
      <c r="U28" s="89"/>
      <c r="V28" s="51"/>
    </row>
    <row r="29" spans="1:22" hidden="1">
      <c r="A29" s="226">
        <v>21</v>
      </c>
      <c r="B29" s="178"/>
      <c r="C29" s="112"/>
      <c r="D29" s="89"/>
      <c r="E29" s="112"/>
      <c r="F29" s="112"/>
      <c r="G29" s="171"/>
      <c r="H29" s="225"/>
      <c r="I29" s="309">
        <f>'summary sheet'!$E$2</f>
        <v>120</v>
      </c>
      <c r="J29" s="315">
        <f t="shared" si="9"/>
        <v>0</v>
      </c>
      <c r="K29" s="118">
        <v>0</v>
      </c>
      <c r="L29" s="118">
        <v>0</v>
      </c>
      <c r="M29" s="119">
        <v>0</v>
      </c>
      <c r="N29" s="54">
        <f t="shared" si="10"/>
        <v>0</v>
      </c>
      <c r="O29" s="55">
        <f t="shared" si="11"/>
        <v>0</v>
      </c>
      <c r="P29" s="55">
        <f t="shared" si="12"/>
        <v>0</v>
      </c>
      <c r="Q29" s="56">
        <f t="shared" si="13"/>
        <v>0</v>
      </c>
      <c r="R29" s="77">
        <f t="shared" si="14"/>
        <v>0</v>
      </c>
      <c r="S29" s="247" t="e">
        <f t="shared" si="7"/>
        <v>#DIV/0!</v>
      </c>
      <c r="T29" s="206" t="e">
        <f t="shared" si="15"/>
        <v>#DIV/0!</v>
      </c>
      <c r="U29" s="89"/>
    </row>
    <row r="30" spans="1:22" ht="13.2" hidden="1" customHeight="1">
      <c r="A30" s="226">
        <v>22</v>
      </c>
      <c r="B30" s="178"/>
      <c r="C30" s="112"/>
      <c r="D30" s="89"/>
      <c r="E30" s="112"/>
      <c r="F30" s="112"/>
      <c r="G30" s="171"/>
      <c r="H30" s="225"/>
      <c r="I30" s="309">
        <f>'summary sheet'!$E$2</f>
        <v>120</v>
      </c>
      <c r="J30" s="315">
        <f t="shared" si="9"/>
        <v>0</v>
      </c>
      <c r="K30" s="118">
        <v>0</v>
      </c>
      <c r="L30" s="118">
        <v>0</v>
      </c>
      <c r="M30" s="119">
        <v>0</v>
      </c>
      <c r="N30" s="54">
        <f t="shared" si="10"/>
        <v>0</v>
      </c>
      <c r="O30" s="55">
        <f t="shared" si="11"/>
        <v>0</v>
      </c>
      <c r="P30" s="55">
        <f t="shared" si="12"/>
        <v>0</v>
      </c>
      <c r="Q30" s="56">
        <f t="shared" si="13"/>
        <v>0</v>
      </c>
      <c r="R30" s="77">
        <f t="shared" si="14"/>
        <v>0</v>
      </c>
      <c r="S30" s="247" t="e">
        <f t="shared" si="7"/>
        <v>#DIV/0!</v>
      </c>
      <c r="T30" s="206" t="e">
        <f t="shared" si="15"/>
        <v>#DIV/0!</v>
      </c>
      <c r="U30" s="89"/>
    </row>
    <row r="31" spans="1:22" ht="13.2" hidden="1" customHeight="1">
      <c r="A31" s="226">
        <v>23</v>
      </c>
      <c r="B31" s="178"/>
      <c r="C31" s="112"/>
      <c r="D31" s="89"/>
      <c r="E31" s="112"/>
      <c r="F31" s="112"/>
      <c r="G31" s="171"/>
      <c r="H31" s="225"/>
      <c r="I31" s="309">
        <f>'summary sheet'!$E$2</f>
        <v>120</v>
      </c>
      <c r="J31" s="315">
        <f t="shared" si="9"/>
        <v>0</v>
      </c>
      <c r="K31" s="118">
        <v>0</v>
      </c>
      <c r="L31" s="118">
        <v>0</v>
      </c>
      <c r="M31" s="119">
        <v>0</v>
      </c>
      <c r="N31" s="54">
        <f t="shared" si="10"/>
        <v>0</v>
      </c>
      <c r="O31" s="55">
        <f t="shared" si="11"/>
        <v>0</v>
      </c>
      <c r="P31" s="55">
        <f t="shared" si="12"/>
        <v>0</v>
      </c>
      <c r="Q31" s="56">
        <f t="shared" si="13"/>
        <v>0</v>
      </c>
      <c r="R31" s="77">
        <f t="shared" si="14"/>
        <v>0</v>
      </c>
      <c r="S31" s="247" t="e">
        <f t="shared" si="7"/>
        <v>#DIV/0!</v>
      </c>
      <c r="T31" s="206" t="e">
        <f t="shared" si="15"/>
        <v>#DIV/0!</v>
      </c>
      <c r="U31" s="89"/>
    </row>
    <row r="32" spans="1:22" hidden="1">
      <c r="A32" s="226">
        <v>24</v>
      </c>
      <c r="B32" s="178"/>
      <c r="C32" s="112"/>
      <c r="D32" s="89"/>
      <c r="E32" s="112"/>
      <c r="F32" s="112"/>
      <c r="G32" s="171"/>
      <c r="H32" s="225"/>
      <c r="I32" s="309">
        <f>'summary sheet'!$E$2</f>
        <v>120</v>
      </c>
      <c r="J32" s="315">
        <f t="shared" si="9"/>
        <v>0</v>
      </c>
      <c r="K32" s="118">
        <v>0</v>
      </c>
      <c r="L32" s="118">
        <v>0</v>
      </c>
      <c r="M32" s="119">
        <v>0</v>
      </c>
      <c r="N32" s="54">
        <f t="shared" si="10"/>
        <v>0</v>
      </c>
      <c r="O32" s="55">
        <f t="shared" si="11"/>
        <v>0</v>
      </c>
      <c r="P32" s="55">
        <f t="shared" si="12"/>
        <v>0</v>
      </c>
      <c r="Q32" s="56">
        <f t="shared" si="13"/>
        <v>0</v>
      </c>
      <c r="R32" s="77">
        <f t="shared" si="14"/>
        <v>0</v>
      </c>
      <c r="S32" s="247" t="e">
        <f t="shared" si="7"/>
        <v>#DIV/0!</v>
      </c>
      <c r="T32" s="206" t="e">
        <f t="shared" si="15"/>
        <v>#DIV/0!</v>
      </c>
      <c r="U32" s="185"/>
      <c r="V32" s="84"/>
    </row>
    <row r="33" spans="1:22" ht="13.2" hidden="1" customHeight="1">
      <c r="A33" s="226">
        <v>25</v>
      </c>
      <c r="B33" s="178"/>
      <c r="C33" s="112"/>
      <c r="D33" s="89"/>
      <c r="E33" s="112"/>
      <c r="F33" s="112"/>
      <c r="G33" s="171"/>
      <c r="H33" s="225"/>
      <c r="I33" s="309">
        <f>'summary sheet'!$E$2</f>
        <v>120</v>
      </c>
      <c r="J33" s="315">
        <f t="shared" si="9"/>
        <v>0</v>
      </c>
      <c r="K33" s="118">
        <v>0</v>
      </c>
      <c r="L33" s="118">
        <v>0</v>
      </c>
      <c r="M33" s="119">
        <v>0</v>
      </c>
      <c r="N33" s="54">
        <f t="shared" si="10"/>
        <v>0</v>
      </c>
      <c r="O33" s="55">
        <f t="shared" si="11"/>
        <v>0</v>
      </c>
      <c r="P33" s="55">
        <f t="shared" si="12"/>
        <v>0</v>
      </c>
      <c r="Q33" s="56">
        <f t="shared" si="13"/>
        <v>0</v>
      </c>
      <c r="R33" s="77">
        <f t="shared" si="14"/>
        <v>0</v>
      </c>
      <c r="S33" s="247" t="e">
        <f t="shared" si="7"/>
        <v>#DIV/0!</v>
      </c>
      <c r="T33" s="206" t="e">
        <f t="shared" si="15"/>
        <v>#DIV/0!</v>
      </c>
      <c r="U33" s="186"/>
      <c r="V33" s="84"/>
    </row>
    <row r="34" spans="1:22" hidden="1">
      <c r="A34" s="226">
        <v>26</v>
      </c>
      <c r="B34" s="178"/>
      <c r="C34" s="112"/>
      <c r="D34" s="89"/>
      <c r="E34" s="112"/>
      <c r="F34" s="112"/>
      <c r="G34" s="171"/>
      <c r="H34" s="225"/>
      <c r="I34" s="309">
        <f>'summary sheet'!$E$2</f>
        <v>120</v>
      </c>
      <c r="J34" s="315">
        <f t="shared" si="4"/>
        <v>0</v>
      </c>
      <c r="K34" s="118">
        <v>0</v>
      </c>
      <c r="L34" s="118">
        <v>0</v>
      </c>
      <c r="M34" s="119">
        <v>0</v>
      </c>
      <c r="N34" s="54">
        <f t="shared" si="5"/>
        <v>0</v>
      </c>
      <c r="O34" s="55">
        <f t="shared" si="0"/>
        <v>0</v>
      </c>
      <c r="P34" s="55">
        <f t="shared" si="1"/>
        <v>0</v>
      </c>
      <c r="Q34" s="56">
        <f t="shared" si="6"/>
        <v>0</v>
      </c>
      <c r="R34" s="77">
        <f t="shared" si="2"/>
        <v>0</v>
      </c>
      <c r="S34" s="247" t="e">
        <f t="shared" si="7"/>
        <v>#DIV/0!</v>
      </c>
      <c r="T34" s="206" t="e">
        <f t="shared" si="8"/>
        <v>#DIV/0!</v>
      </c>
      <c r="U34" s="89"/>
    </row>
    <row r="35" spans="1:22" hidden="1">
      <c r="A35" s="226">
        <v>27</v>
      </c>
      <c r="B35" s="178"/>
      <c r="C35" s="112"/>
      <c r="D35" s="89"/>
      <c r="E35" s="112"/>
      <c r="F35" s="112"/>
      <c r="G35" s="171"/>
      <c r="H35" s="225"/>
      <c r="I35" s="309">
        <f>'summary sheet'!$E$2</f>
        <v>120</v>
      </c>
      <c r="J35" s="315">
        <f t="shared" si="4"/>
        <v>0</v>
      </c>
      <c r="K35" s="118">
        <v>0</v>
      </c>
      <c r="L35" s="118">
        <v>0</v>
      </c>
      <c r="M35" s="119">
        <v>0</v>
      </c>
      <c r="N35" s="54">
        <f t="shared" si="5"/>
        <v>0</v>
      </c>
      <c r="O35" s="55">
        <f t="shared" si="0"/>
        <v>0</v>
      </c>
      <c r="P35" s="55">
        <f t="shared" si="1"/>
        <v>0</v>
      </c>
      <c r="Q35" s="56">
        <f t="shared" si="6"/>
        <v>0</v>
      </c>
      <c r="R35" s="77">
        <f t="shared" si="2"/>
        <v>0</v>
      </c>
      <c r="S35" s="247" t="e">
        <f t="shared" si="7"/>
        <v>#DIV/0!</v>
      </c>
      <c r="T35" s="206" t="e">
        <f t="shared" si="8"/>
        <v>#DIV/0!</v>
      </c>
      <c r="U35" s="89"/>
    </row>
    <row r="36" spans="1:22" hidden="1">
      <c r="A36" s="226">
        <v>28</v>
      </c>
      <c r="B36" s="178"/>
      <c r="C36" s="112"/>
      <c r="D36" s="89"/>
      <c r="E36" s="112"/>
      <c r="F36" s="112"/>
      <c r="G36" s="171"/>
      <c r="H36" s="225"/>
      <c r="I36" s="309">
        <f>'summary sheet'!$E$2</f>
        <v>120</v>
      </c>
      <c r="J36" s="315">
        <f t="shared" si="4"/>
        <v>0</v>
      </c>
      <c r="K36" s="118">
        <v>0</v>
      </c>
      <c r="L36" s="118">
        <v>0</v>
      </c>
      <c r="M36" s="119">
        <v>0</v>
      </c>
      <c r="N36" s="54">
        <f t="shared" si="5"/>
        <v>0</v>
      </c>
      <c r="O36" s="55">
        <f t="shared" si="0"/>
        <v>0</v>
      </c>
      <c r="P36" s="55">
        <f t="shared" si="1"/>
        <v>0</v>
      </c>
      <c r="Q36" s="56">
        <f t="shared" si="6"/>
        <v>0</v>
      </c>
      <c r="R36" s="77">
        <f t="shared" si="2"/>
        <v>0</v>
      </c>
      <c r="S36" s="247" t="e">
        <f t="shared" si="7"/>
        <v>#DIV/0!</v>
      </c>
      <c r="T36" s="206" t="e">
        <f t="shared" si="8"/>
        <v>#DIV/0!</v>
      </c>
      <c r="U36" s="89"/>
    </row>
    <row r="37" spans="1:22" hidden="1">
      <c r="A37" s="226">
        <v>29</v>
      </c>
      <c r="B37" s="178"/>
      <c r="C37" s="112"/>
      <c r="D37" s="89"/>
      <c r="E37" s="112"/>
      <c r="F37" s="112"/>
      <c r="G37" s="171"/>
      <c r="H37" s="225"/>
      <c r="I37" s="309">
        <f>'summary sheet'!$E$2</f>
        <v>120</v>
      </c>
      <c r="J37" s="315">
        <f t="shared" si="4"/>
        <v>0</v>
      </c>
      <c r="K37" s="118">
        <v>0</v>
      </c>
      <c r="L37" s="118">
        <v>0</v>
      </c>
      <c r="M37" s="119">
        <v>0</v>
      </c>
      <c r="N37" s="54">
        <f t="shared" si="5"/>
        <v>0</v>
      </c>
      <c r="O37" s="55">
        <f t="shared" si="0"/>
        <v>0</v>
      </c>
      <c r="P37" s="55">
        <f t="shared" si="1"/>
        <v>0</v>
      </c>
      <c r="Q37" s="56">
        <f t="shared" si="6"/>
        <v>0</v>
      </c>
      <c r="R37" s="77">
        <f t="shared" si="2"/>
        <v>0</v>
      </c>
      <c r="S37" s="247" t="e">
        <f t="shared" si="7"/>
        <v>#DIV/0!</v>
      </c>
      <c r="T37" s="206" t="e">
        <f t="shared" si="8"/>
        <v>#DIV/0!</v>
      </c>
      <c r="U37" s="89"/>
    </row>
    <row r="38" spans="1:22" hidden="1">
      <c r="A38" s="226">
        <v>30</v>
      </c>
      <c r="B38" s="178"/>
      <c r="C38" s="112"/>
      <c r="D38" s="89"/>
      <c r="E38" s="112"/>
      <c r="F38" s="112"/>
      <c r="G38" s="171"/>
      <c r="H38" s="225"/>
      <c r="I38" s="309">
        <f>'summary sheet'!$E$2</f>
        <v>120</v>
      </c>
      <c r="J38" s="315">
        <f t="shared" si="4"/>
        <v>0</v>
      </c>
      <c r="K38" s="118">
        <v>0</v>
      </c>
      <c r="L38" s="118">
        <v>0</v>
      </c>
      <c r="M38" s="119">
        <v>0</v>
      </c>
      <c r="N38" s="54">
        <f t="shared" si="5"/>
        <v>0</v>
      </c>
      <c r="O38" s="55">
        <f t="shared" si="0"/>
        <v>0</v>
      </c>
      <c r="P38" s="55">
        <f t="shared" si="1"/>
        <v>0</v>
      </c>
      <c r="Q38" s="56">
        <f t="shared" si="6"/>
        <v>0</v>
      </c>
      <c r="R38" s="77">
        <f t="shared" si="2"/>
        <v>0</v>
      </c>
      <c r="S38" s="247" t="e">
        <f t="shared" si="7"/>
        <v>#DIV/0!</v>
      </c>
      <c r="T38" s="206" t="e">
        <f t="shared" si="8"/>
        <v>#DIV/0!</v>
      </c>
      <c r="U38" s="89"/>
    </row>
    <row r="39" spans="1:22" hidden="1">
      <c r="A39" s="226">
        <v>31</v>
      </c>
      <c r="B39" s="178"/>
      <c r="C39" s="112"/>
      <c r="D39" s="89"/>
      <c r="E39" s="112"/>
      <c r="F39" s="112"/>
      <c r="G39" s="171"/>
      <c r="H39" s="225"/>
      <c r="I39" s="309">
        <f>'summary sheet'!$E$2</f>
        <v>120</v>
      </c>
      <c r="J39" s="315">
        <f t="shared" si="4"/>
        <v>0</v>
      </c>
      <c r="K39" s="118">
        <v>0</v>
      </c>
      <c r="L39" s="118">
        <v>0</v>
      </c>
      <c r="M39" s="119">
        <v>0</v>
      </c>
      <c r="N39" s="54">
        <f t="shared" si="5"/>
        <v>0</v>
      </c>
      <c r="O39" s="55">
        <f t="shared" si="0"/>
        <v>0</v>
      </c>
      <c r="P39" s="55">
        <f t="shared" si="1"/>
        <v>0</v>
      </c>
      <c r="Q39" s="56">
        <f t="shared" si="6"/>
        <v>0</v>
      </c>
      <c r="R39" s="77">
        <f t="shared" si="2"/>
        <v>0</v>
      </c>
      <c r="S39" s="247" t="e">
        <f t="shared" si="7"/>
        <v>#DIV/0!</v>
      </c>
      <c r="T39" s="206" t="e">
        <f t="shared" si="8"/>
        <v>#DIV/0!</v>
      </c>
      <c r="U39" s="89"/>
    </row>
    <row r="40" spans="1:22" hidden="1">
      <c r="A40" s="226">
        <v>32</v>
      </c>
      <c r="B40" s="178"/>
      <c r="C40" s="112"/>
      <c r="D40" s="89"/>
      <c r="E40" s="112"/>
      <c r="F40" s="112"/>
      <c r="G40" s="171"/>
      <c r="H40" s="225"/>
      <c r="I40" s="309">
        <f>'summary sheet'!$E$2</f>
        <v>120</v>
      </c>
      <c r="J40" s="315">
        <f t="shared" si="4"/>
        <v>0</v>
      </c>
      <c r="K40" s="118">
        <v>0</v>
      </c>
      <c r="L40" s="118">
        <v>0</v>
      </c>
      <c r="M40" s="119">
        <v>0</v>
      </c>
      <c r="N40" s="54">
        <f t="shared" si="5"/>
        <v>0</v>
      </c>
      <c r="O40" s="55">
        <f t="shared" si="0"/>
        <v>0</v>
      </c>
      <c r="P40" s="55">
        <f t="shared" si="1"/>
        <v>0</v>
      </c>
      <c r="Q40" s="56">
        <f t="shared" si="6"/>
        <v>0</v>
      </c>
      <c r="R40" s="77">
        <f t="shared" si="2"/>
        <v>0</v>
      </c>
      <c r="S40" s="247" t="e">
        <f t="shared" si="7"/>
        <v>#DIV/0!</v>
      </c>
      <c r="T40" s="206" t="e">
        <f t="shared" si="8"/>
        <v>#DIV/0!</v>
      </c>
      <c r="U40" s="89"/>
    </row>
    <row r="41" spans="1:22" hidden="1">
      <c r="A41" s="226">
        <v>33</v>
      </c>
      <c r="B41" s="178"/>
      <c r="C41" s="112"/>
      <c r="D41" s="89"/>
      <c r="E41" s="112"/>
      <c r="F41" s="112"/>
      <c r="G41" s="171"/>
      <c r="H41" s="225"/>
      <c r="I41" s="309">
        <f>'summary sheet'!$E$2</f>
        <v>120</v>
      </c>
      <c r="J41" s="315">
        <f t="shared" ref="J41:J58" si="16">SUM(I41*H41)*G41</f>
        <v>0</v>
      </c>
      <c r="K41" s="118">
        <v>0</v>
      </c>
      <c r="L41" s="118">
        <v>0</v>
      </c>
      <c r="M41" s="119">
        <v>0</v>
      </c>
      <c r="N41" s="54">
        <f t="shared" ref="N41:N58" si="17">J41</f>
        <v>0</v>
      </c>
      <c r="O41" s="55">
        <f t="shared" ref="O41:O58" si="18">SUM(G41)*K41</f>
        <v>0</v>
      </c>
      <c r="P41" s="55">
        <f t="shared" ref="P41:P58" si="19">SUM(L41)</f>
        <v>0</v>
      </c>
      <c r="Q41" s="56">
        <f t="shared" ref="Q41:Q58" si="20">M41</f>
        <v>0</v>
      </c>
      <c r="R41" s="77">
        <f t="shared" ref="R41:R58" si="21">SUM(N41:Q41)</f>
        <v>0</v>
      </c>
      <c r="S41" s="247" t="e">
        <f t="shared" si="7"/>
        <v>#DIV/0!</v>
      </c>
      <c r="T41" s="206" t="e">
        <f t="shared" si="3"/>
        <v>#DIV/0!</v>
      </c>
      <c r="U41" s="89"/>
      <c r="V41" s="51"/>
    </row>
    <row r="42" spans="1:22" hidden="1">
      <c r="A42" s="226">
        <v>34</v>
      </c>
      <c r="B42" s="178"/>
      <c r="C42" s="112"/>
      <c r="D42" s="89"/>
      <c r="E42" s="112"/>
      <c r="F42" s="112"/>
      <c r="G42" s="171"/>
      <c r="H42" s="225"/>
      <c r="I42" s="309">
        <f>'summary sheet'!$E$2</f>
        <v>120</v>
      </c>
      <c r="J42" s="315">
        <f t="shared" si="16"/>
        <v>0</v>
      </c>
      <c r="K42" s="118">
        <v>0</v>
      </c>
      <c r="L42" s="118">
        <v>0</v>
      </c>
      <c r="M42" s="119">
        <v>0</v>
      </c>
      <c r="N42" s="54">
        <f t="shared" si="17"/>
        <v>0</v>
      </c>
      <c r="O42" s="55">
        <f t="shared" si="18"/>
        <v>0</v>
      </c>
      <c r="P42" s="55">
        <f t="shared" si="19"/>
        <v>0</v>
      </c>
      <c r="Q42" s="56">
        <f t="shared" si="20"/>
        <v>0</v>
      </c>
      <c r="R42" s="77">
        <f t="shared" si="21"/>
        <v>0</v>
      </c>
      <c r="S42" s="247" t="e">
        <f t="shared" si="7"/>
        <v>#DIV/0!</v>
      </c>
      <c r="T42" s="206" t="e">
        <f t="shared" si="3"/>
        <v>#DIV/0!</v>
      </c>
      <c r="U42" s="89"/>
    </row>
    <row r="43" spans="1:22" ht="13.2" hidden="1" customHeight="1">
      <c r="A43" s="226">
        <v>35</v>
      </c>
      <c r="B43" s="178"/>
      <c r="C43" s="112"/>
      <c r="D43" s="89"/>
      <c r="E43" s="112"/>
      <c r="F43" s="112"/>
      <c r="G43" s="171"/>
      <c r="H43" s="225"/>
      <c r="I43" s="309">
        <f>'summary sheet'!$E$2</f>
        <v>120</v>
      </c>
      <c r="J43" s="315">
        <f t="shared" si="16"/>
        <v>0</v>
      </c>
      <c r="K43" s="118">
        <v>0</v>
      </c>
      <c r="L43" s="118">
        <v>0</v>
      </c>
      <c r="M43" s="119">
        <v>0</v>
      </c>
      <c r="N43" s="54">
        <f t="shared" si="17"/>
        <v>0</v>
      </c>
      <c r="O43" s="55">
        <f t="shared" si="18"/>
        <v>0</v>
      </c>
      <c r="P43" s="55">
        <f t="shared" si="19"/>
        <v>0</v>
      </c>
      <c r="Q43" s="56">
        <f t="shared" si="20"/>
        <v>0</v>
      </c>
      <c r="R43" s="77">
        <f t="shared" si="21"/>
        <v>0</v>
      </c>
      <c r="S43" s="247" t="e">
        <f t="shared" si="7"/>
        <v>#DIV/0!</v>
      </c>
      <c r="T43" s="206" t="e">
        <f t="shared" si="3"/>
        <v>#DIV/0!</v>
      </c>
      <c r="U43" s="89"/>
    </row>
    <row r="44" spans="1:22" ht="13.2" hidden="1" customHeight="1">
      <c r="A44" s="226">
        <v>36</v>
      </c>
      <c r="B44" s="178"/>
      <c r="C44" s="112"/>
      <c r="D44" s="89"/>
      <c r="E44" s="112"/>
      <c r="F44" s="112"/>
      <c r="G44" s="171"/>
      <c r="H44" s="225"/>
      <c r="I44" s="309">
        <f>'summary sheet'!$E$2</f>
        <v>120</v>
      </c>
      <c r="J44" s="315">
        <f t="shared" si="16"/>
        <v>0</v>
      </c>
      <c r="K44" s="118">
        <v>0</v>
      </c>
      <c r="L44" s="118">
        <v>0</v>
      </c>
      <c r="M44" s="119">
        <v>0</v>
      </c>
      <c r="N44" s="54">
        <f t="shared" si="17"/>
        <v>0</v>
      </c>
      <c r="O44" s="55">
        <f t="shared" si="18"/>
        <v>0</v>
      </c>
      <c r="P44" s="55">
        <f t="shared" si="19"/>
        <v>0</v>
      </c>
      <c r="Q44" s="56">
        <f t="shared" si="20"/>
        <v>0</v>
      </c>
      <c r="R44" s="77">
        <f t="shared" si="21"/>
        <v>0</v>
      </c>
      <c r="S44" s="247" t="e">
        <f t="shared" si="7"/>
        <v>#DIV/0!</v>
      </c>
      <c r="T44" s="206" t="e">
        <f t="shared" si="3"/>
        <v>#DIV/0!</v>
      </c>
      <c r="U44" s="89"/>
    </row>
    <row r="45" spans="1:22" hidden="1">
      <c r="A45" s="226">
        <v>37</v>
      </c>
      <c r="B45" s="178"/>
      <c r="C45" s="112"/>
      <c r="D45" s="89"/>
      <c r="E45" s="112"/>
      <c r="F45" s="112"/>
      <c r="G45" s="171"/>
      <c r="H45" s="225"/>
      <c r="I45" s="309">
        <f>'summary sheet'!$E$2</f>
        <v>120</v>
      </c>
      <c r="J45" s="315">
        <f t="shared" si="16"/>
        <v>0</v>
      </c>
      <c r="K45" s="118">
        <v>0</v>
      </c>
      <c r="L45" s="118">
        <v>0</v>
      </c>
      <c r="M45" s="119">
        <v>0</v>
      </c>
      <c r="N45" s="54">
        <f t="shared" si="17"/>
        <v>0</v>
      </c>
      <c r="O45" s="55">
        <f t="shared" si="18"/>
        <v>0</v>
      </c>
      <c r="P45" s="55">
        <f t="shared" si="19"/>
        <v>0</v>
      </c>
      <c r="Q45" s="56">
        <f t="shared" si="20"/>
        <v>0</v>
      </c>
      <c r="R45" s="77">
        <f t="shared" si="21"/>
        <v>0</v>
      </c>
      <c r="S45" s="247" t="e">
        <f t="shared" si="7"/>
        <v>#DIV/0!</v>
      </c>
      <c r="T45" s="206" t="e">
        <f t="shared" si="3"/>
        <v>#DIV/0!</v>
      </c>
      <c r="U45" s="185"/>
      <c r="V45" s="84"/>
    </row>
    <row r="46" spans="1:22" ht="13.2" hidden="1" customHeight="1">
      <c r="A46" s="226">
        <v>38</v>
      </c>
      <c r="B46" s="178"/>
      <c r="C46" s="112"/>
      <c r="D46" s="89"/>
      <c r="E46" s="112"/>
      <c r="F46" s="112"/>
      <c r="G46" s="171"/>
      <c r="H46" s="225"/>
      <c r="I46" s="309">
        <f>'summary sheet'!$E$2</f>
        <v>120</v>
      </c>
      <c r="J46" s="315">
        <f t="shared" si="16"/>
        <v>0</v>
      </c>
      <c r="K46" s="118">
        <v>0</v>
      </c>
      <c r="L46" s="118">
        <v>0</v>
      </c>
      <c r="M46" s="119">
        <v>0</v>
      </c>
      <c r="N46" s="54">
        <f t="shared" si="17"/>
        <v>0</v>
      </c>
      <c r="O46" s="55">
        <f t="shared" si="18"/>
        <v>0</v>
      </c>
      <c r="P46" s="55">
        <f t="shared" si="19"/>
        <v>0</v>
      </c>
      <c r="Q46" s="56">
        <f t="shared" si="20"/>
        <v>0</v>
      </c>
      <c r="R46" s="77">
        <f t="shared" si="21"/>
        <v>0</v>
      </c>
      <c r="S46" s="247" t="e">
        <f t="shared" si="7"/>
        <v>#DIV/0!</v>
      </c>
      <c r="T46" s="206" t="e">
        <f t="shared" si="3"/>
        <v>#DIV/0!</v>
      </c>
      <c r="U46" s="186"/>
      <c r="V46" s="84"/>
    </row>
    <row r="47" spans="1:22" ht="13.2" hidden="1" customHeight="1">
      <c r="A47" s="226">
        <v>39</v>
      </c>
      <c r="B47" s="178"/>
      <c r="C47" s="112"/>
      <c r="D47" s="89"/>
      <c r="E47" s="112"/>
      <c r="F47" s="112"/>
      <c r="G47" s="171"/>
      <c r="H47" s="225"/>
      <c r="I47" s="309">
        <f>'summary sheet'!$E$2</f>
        <v>120</v>
      </c>
      <c r="J47" s="315">
        <f t="shared" si="16"/>
        <v>0</v>
      </c>
      <c r="K47" s="118">
        <v>0</v>
      </c>
      <c r="L47" s="118">
        <v>0</v>
      </c>
      <c r="M47" s="119">
        <v>0</v>
      </c>
      <c r="N47" s="54">
        <f t="shared" si="17"/>
        <v>0</v>
      </c>
      <c r="O47" s="55">
        <f t="shared" si="18"/>
        <v>0</v>
      </c>
      <c r="P47" s="55">
        <f t="shared" si="19"/>
        <v>0</v>
      </c>
      <c r="Q47" s="56">
        <f t="shared" si="20"/>
        <v>0</v>
      </c>
      <c r="R47" s="77">
        <f t="shared" si="21"/>
        <v>0</v>
      </c>
      <c r="S47" s="247" t="e">
        <f t="shared" si="7"/>
        <v>#DIV/0!</v>
      </c>
      <c r="T47" s="206" t="e">
        <f t="shared" si="3"/>
        <v>#DIV/0!</v>
      </c>
      <c r="U47" s="89"/>
    </row>
    <row r="48" spans="1:22" ht="13.2" hidden="1" customHeight="1">
      <c r="A48" s="226">
        <v>40</v>
      </c>
      <c r="B48" s="178"/>
      <c r="C48" s="112"/>
      <c r="D48" s="89"/>
      <c r="E48" s="112"/>
      <c r="F48" s="112"/>
      <c r="G48" s="171"/>
      <c r="H48" s="225"/>
      <c r="I48" s="309">
        <f>'summary sheet'!$E$2</f>
        <v>120</v>
      </c>
      <c r="J48" s="315">
        <f t="shared" si="16"/>
        <v>0</v>
      </c>
      <c r="K48" s="118">
        <v>0</v>
      </c>
      <c r="L48" s="118">
        <v>0</v>
      </c>
      <c r="M48" s="119">
        <v>0</v>
      </c>
      <c r="N48" s="54">
        <f t="shared" si="17"/>
        <v>0</v>
      </c>
      <c r="O48" s="55">
        <f t="shared" si="18"/>
        <v>0</v>
      </c>
      <c r="P48" s="55">
        <f t="shared" si="19"/>
        <v>0</v>
      </c>
      <c r="Q48" s="56">
        <f t="shared" si="20"/>
        <v>0</v>
      </c>
      <c r="R48" s="77">
        <f t="shared" si="21"/>
        <v>0</v>
      </c>
      <c r="S48" s="247" t="e">
        <f t="shared" si="7"/>
        <v>#DIV/0!</v>
      </c>
      <c r="T48" s="206" t="e">
        <f t="shared" si="3"/>
        <v>#DIV/0!</v>
      </c>
      <c r="U48" s="89"/>
    </row>
    <row r="49" spans="1:21" hidden="1">
      <c r="A49" s="226">
        <v>41</v>
      </c>
      <c r="B49" s="178"/>
      <c r="C49" s="112"/>
      <c r="D49" s="89"/>
      <c r="E49" s="112"/>
      <c r="F49" s="112"/>
      <c r="G49" s="171"/>
      <c r="H49" s="225"/>
      <c r="I49" s="309">
        <f>'summary sheet'!$E$2</f>
        <v>120</v>
      </c>
      <c r="J49" s="315">
        <f t="shared" si="16"/>
        <v>0</v>
      </c>
      <c r="K49" s="118">
        <v>0</v>
      </c>
      <c r="L49" s="118">
        <v>0</v>
      </c>
      <c r="M49" s="119">
        <v>0</v>
      </c>
      <c r="N49" s="54">
        <f t="shared" si="17"/>
        <v>0</v>
      </c>
      <c r="O49" s="55">
        <f t="shared" si="18"/>
        <v>0</v>
      </c>
      <c r="P49" s="55">
        <f t="shared" si="19"/>
        <v>0</v>
      </c>
      <c r="Q49" s="56">
        <f t="shared" si="20"/>
        <v>0</v>
      </c>
      <c r="R49" s="77">
        <f t="shared" si="21"/>
        <v>0</v>
      </c>
      <c r="S49" s="247" t="e">
        <f t="shared" si="7"/>
        <v>#DIV/0!</v>
      </c>
      <c r="T49" s="206" t="e">
        <f t="shared" si="3"/>
        <v>#DIV/0!</v>
      </c>
      <c r="U49" s="89"/>
    </row>
    <row r="50" spans="1:21" hidden="1">
      <c r="A50" s="226">
        <v>42</v>
      </c>
      <c r="B50" s="178"/>
      <c r="C50" s="112"/>
      <c r="D50" s="89"/>
      <c r="E50" s="112"/>
      <c r="F50" s="112"/>
      <c r="G50" s="171"/>
      <c r="H50" s="225"/>
      <c r="I50" s="309">
        <f>'summary sheet'!$E$2</f>
        <v>120</v>
      </c>
      <c r="J50" s="315">
        <f t="shared" si="16"/>
        <v>0</v>
      </c>
      <c r="K50" s="118">
        <v>0</v>
      </c>
      <c r="L50" s="118">
        <v>0</v>
      </c>
      <c r="M50" s="119">
        <v>0</v>
      </c>
      <c r="N50" s="54">
        <f t="shared" si="17"/>
        <v>0</v>
      </c>
      <c r="O50" s="55">
        <f t="shared" si="18"/>
        <v>0</v>
      </c>
      <c r="P50" s="55">
        <f t="shared" si="19"/>
        <v>0</v>
      </c>
      <c r="Q50" s="56">
        <f t="shared" si="20"/>
        <v>0</v>
      </c>
      <c r="R50" s="77">
        <f t="shared" si="21"/>
        <v>0</v>
      </c>
      <c r="S50" s="247" t="e">
        <f t="shared" si="7"/>
        <v>#DIV/0!</v>
      </c>
      <c r="T50" s="206" t="e">
        <f t="shared" si="3"/>
        <v>#DIV/0!</v>
      </c>
      <c r="U50" s="89"/>
    </row>
    <row r="51" spans="1:21" hidden="1">
      <c r="A51" s="226">
        <v>43</v>
      </c>
      <c r="B51" s="178"/>
      <c r="C51" s="112"/>
      <c r="D51" s="89"/>
      <c r="E51" s="112"/>
      <c r="F51" s="112"/>
      <c r="G51" s="171"/>
      <c r="H51" s="225"/>
      <c r="I51" s="309">
        <f>'summary sheet'!$E$2</f>
        <v>120</v>
      </c>
      <c r="J51" s="315">
        <f t="shared" si="16"/>
        <v>0</v>
      </c>
      <c r="K51" s="118">
        <v>0</v>
      </c>
      <c r="L51" s="118">
        <v>0</v>
      </c>
      <c r="M51" s="119">
        <v>0</v>
      </c>
      <c r="N51" s="54">
        <f t="shared" si="17"/>
        <v>0</v>
      </c>
      <c r="O51" s="55">
        <f t="shared" si="18"/>
        <v>0</v>
      </c>
      <c r="P51" s="55">
        <f t="shared" si="19"/>
        <v>0</v>
      </c>
      <c r="Q51" s="56">
        <f t="shared" si="20"/>
        <v>0</v>
      </c>
      <c r="R51" s="77">
        <f t="shared" si="21"/>
        <v>0</v>
      </c>
      <c r="S51" s="247" t="e">
        <f t="shared" si="7"/>
        <v>#DIV/0!</v>
      </c>
      <c r="T51" s="206" t="e">
        <f t="shared" si="3"/>
        <v>#DIV/0!</v>
      </c>
      <c r="U51" s="89"/>
    </row>
    <row r="52" spans="1:21" hidden="1">
      <c r="A52" s="226">
        <v>44</v>
      </c>
      <c r="B52" s="178"/>
      <c r="C52" s="112"/>
      <c r="D52" s="89"/>
      <c r="E52" s="112"/>
      <c r="F52" s="112"/>
      <c r="G52" s="171"/>
      <c r="H52" s="225"/>
      <c r="I52" s="309">
        <f>'summary sheet'!$E$2</f>
        <v>120</v>
      </c>
      <c r="J52" s="315">
        <f t="shared" si="16"/>
        <v>0</v>
      </c>
      <c r="K52" s="118">
        <v>0</v>
      </c>
      <c r="L52" s="118">
        <v>0</v>
      </c>
      <c r="M52" s="119">
        <v>0</v>
      </c>
      <c r="N52" s="54">
        <f t="shared" si="17"/>
        <v>0</v>
      </c>
      <c r="O52" s="55">
        <f t="shared" si="18"/>
        <v>0</v>
      </c>
      <c r="P52" s="55">
        <f t="shared" si="19"/>
        <v>0</v>
      </c>
      <c r="Q52" s="56">
        <f t="shared" si="20"/>
        <v>0</v>
      </c>
      <c r="R52" s="77">
        <f t="shared" si="21"/>
        <v>0</v>
      </c>
      <c r="S52" s="247" t="e">
        <f t="shared" si="7"/>
        <v>#DIV/0!</v>
      </c>
      <c r="T52" s="206" t="e">
        <f t="shared" si="3"/>
        <v>#DIV/0!</v>
      </c>
      <c r="U52" s="89"/>
    </row>
    <row r="53" spans="1:21" hidden="1">
      <c r="A53" s="226">
        <v>45</v>
      </c>
      <c r="B53" s="178"/>
      <c r="C53" s="112"/>
      <c r="D53" s="89"/>
      <c r="E53" s="112"/>
      <c r="F53" s="112"/>
      <c r="G53" s="171"/>
      <c r="H53" s="225"/>
      <c r="I53" s="309">
        <f>'summary sheet'!$E$2</f>
        <v>120</v>
      </c>
      <c r="J53" s="315">
        <f t="shared" si="16"/>
        <v>0</v>
      </c>
      <c r="K53" s="118">
        <v>0</v>
      </c>
      <c r="L53" s="118">
        <v>0</v>
      </c>
      <c r="M53" s="119">
        <v>0</v>
      </c>
      <c r="N53" s="54">
        <f t="shared" si="17"/>
        <v>0</v>
      </c>
      <c r="O53" s="55">
        <f t="shared" si="18"/>
        <v>0</v>
      </c>
      <c r="P53" s="55">
        <f t="shared" si="19"/>
        <v>0</v>
      </c>
      <c r="Q53" s="56">
        <f t="shared" si="20"/>
        <v>0</v>
      </c>
      <c r="R53" s="77">
        <f t="shared" si="21"/>
        <v>0</v>
      </c>
      <c r="S53" s="247" t="e">
        <f t="shared" si="7"/>
        <v>#DIV/0!</v>
      </c>
      <c r="T53" s="206" t="e">
        <f t="shared" si="3"/>
        <v>#DIV/0!</v>
      </c>
      <c r="U53" s="89"/>
    </row>
    <row r="54" spans="1:21" hidden="1">
      <c r="A54" s="226">
        <v>46</v>
      </c>
      <c r="B54" s="178"/>
      <c r="C54" s="112"/>
      <c r="D54" s="89"/>
      <c r="E54" s="112"/>
      <c r="F54" s="112"/>
      <c r="G54" s="171"/>
      <c r="H54" s="225"/>
      <c r="I54" s="309">
        <f>'summary sheet'!$E$2</f>
        <v>120</v>
      </c>
      <c r="J54" s="315">
        <f t="shared" si="16"/>
        <v>0</v>
      </c>
      <c r="K54" s="118">
        <v>0</v>
      </c>
      <c r="L54" s="118">
        <v>0</v>
      </c>
      <c r="M54" s="119">
        <v>0</v>
      </c>
      <c r="N54" s="54">
        <f t="shared" si="17"/>
        <v>0</v>
      </c>
      <c r="O54" s="55">
        <f t="shared" si="18"/>
        <v>0</v>
      </c>
      <c r="P54" s="55">
        <f t="shared" si="19"/>
        <v>0</v>
      </c>
      <c r="Q54" s="56">
        <f t="shared" si="20"/>
        <v>0</v>
      </c>
      <c r="R54" s="77">
        <f t="shared" si="21"/>
        <v>0</v>
      </c>
      <c r="S54" s="247" t="e">
        <f t="shared" si="7"/>
        <v>#DIV/0!</v>
      </c>
      <c r="T54" s="206" t="e">
        <f t="shared" si="3"/>
        <v>#DIV/0!</v>
      </c>
      <c r="U54" s="89"/>
    </row>
    <row r="55" spans="1:21" hidden="1">
      <c r="A55" s="226">
        <v>47</v>
      </c>
      <c r="B55" s="178"/>
      <c r="C55" s="112"/>
      <c r="D55" s="89"/>
      <c r="E55" s="112"/>
      <c r="F55" s="112"/>
      <c r="G55" s="171"/>
      <c r="H55" s="225"/>
      <c r="I55" s="309">
        <f>'summary sheet'!$E$2</f>
        <v>120</v>
      </c>
      <c r="J55" s="315">
        <f t="shared" si="16"/>
        <v>0</v>
      </c>
      <c r="K55" s="118">
        <v>0</v>
      </c>
      <c r="L55" s="118">
        <v>0</v>
      </c>
      <c r="M55" s="119">
        <v>0</v>
      </c>
      <c r="N55" s="54">
        <f t="shared" si="17"/>
        <v>0</v>
      </c>
      <c r="O55" s="55">
        <f t="shared" si="18"/>
        <v>0</v>
      </c>
      <c r="P55" s="55">
        <f t="shared" si="19"/>
        <v>0</v>
      </c>
      <c r="Q55" s="56">
        <f t="shared" si="20"/>
        <v>0</v>
      </c>
      <c r="R55" s="77">
        <f t="shared" si="21"/>
        <v>0</v>
      </c>
      <c r="S55" s="247" t="e">
        <f t="shared" si="7"/>
        <v>#DIV/0!</v>
      </c>
      <c r="T55" s="206" t="e">
        <f t="shared" si="3"/>
        <v>#DIV/0!</v>
      </c>
      <c r="U55" s="89"/>
    </row>
    <row r="56" spans="1:21" hidden="1">
      <c r="A56" s="226">
        <v>48</v>
      </c>
      <c r="B56" s="178"/>
      <c r="C56" s="112"/>
      <c r="D56" s="89"/>
      <c r="E56" s="112"/>
      <c r="F56" s="112"/>
      <c r="G56" s="171"/>
      <c r="H56" s="225"/>
      <c r="I56" s="309">
        <f>'summary sheet'!$E$2</f>
        <v>120</v>
      </c>
      <c r="J56" s="315">
        <f t="shared" si="16"/>
        <v>0</v>
      </c>
      <c r="K56" s="118">
        <v>0</v>
      </c>
      <c r="L56" s="118">
        <v>0</v>
      </c>
      <c r="M56" s="119">
        <v>0</v>
      </c>
      <c r="N56" s="54">
        <f t="shared" si="17"/>
        <v>0</v>
      </c>
      <c r="O56" s="55">
        <f t="shared" si="18"/>
        <v>0</v>
      </c>
      <c r="P56" s="55">
        <f t="shared" si="19"/>
        <v>0</v>
      </c>
      <c r="Q56" s="56">
        <f t="shared" si="20"/>
        <v>0</v>
      </c>
      <c r="R56" s="77">
        <f t="shared" si="21"/>
        <v>0</v>
      </c>
      <c r="S56" s="247" t="e">
        <f t="shared" si="7"/>
        <v>#DIV/0!</v>
      </c>
      <c r="T56" s="206" t="e">
        <f t="shared" si="3"/>
        <v>#DIV/0!</v>
      </c>
      <c r="U56" s="89"/>
    </row>
    <row r="57" spans="1:21" hidden="1">
      <c r="A57" s="226">
        <v>49</v>
      </c>
      <c r="B57" s="178"/>
      <c r="C57" s="112"/>
      <c r="D57" s="89"/>
      <c r="E57" s="112"/>
      <c r="F57" s="112"/>
      <c r="G57" s="171"/>
      <c r="H57" s="225"/>
      <c r="I57" s="309">
        <f>'summary sheet'!$E$2</f>
        <v>120</v>
      </c>
      <c r="J57" s="315">
        <f t="shared" si="16"/>
        <v>0</v>
      </c>
      <c r="K57" s="118">
        <v>0</v>
      </c>
      <c r="L57" s="118">
        <v>0</v>
      </c>
      <c r="M57" s="119">
        <v>0</v>
      </c>
      <c r="N57" s="54">
        <f t="shared" si="17"/>
        <v>0</v>
      </c>
      <c r="O57" s="55">
        <f t="shared" si="18"/>
        <v>0</v>
      </c>
      <c r="P57" s="55">
        <f t="shared" si="19"/>
        <v>0</v>
      </c>
      <c r="Q57" s="56">
        <f t="shared" si="20"/>
        <v>0</v>
      </c>
      <c r="R57" s="77">
        <f t="shared" si="21"/>
        <v>0</v>
      </c>
      <c r="S57" s="247" t="e">
        <f t="shared" si="7"/>
        <v>#DIV/0!</v>
      </c>
      <c r="T57" s="206" t="e">
        <f t="shared" si="3"/>
        <v>#DIV/0!</v>
      </c>
      <c r="U57" s="89"/>
    </row>
    <row r="58" spans="1:21" ht="13.8" hidden="1" thickBot="1">
      <c r="A58" s="226">
        <v>50</v>
      </c>
      <c r="B58" s="178"/>
      <c r="C58" s="112"/>
      <c r="D58" s="89"/>
      <c r="E58" s="112"/>
      <c r="F58" s="112"/>
      <c r="G58" s="171"/>
      <c r="H58" s="225"/>
      <c r="I58" s="309">
        <f>'summary sheet'!$E$2</f>
        <v>120</v>
      </c>
      <c r="J58" s="315">
        <f t="shared" si="16"/>
        <v>0</v>
      </c>
      <c r="K58" s="118">
        <v>0</v>
      </c>
      <c r="L58" s="118">
        <v>0</v>
      </c>
      <c r="M58" s="119">
        <v>0</v>
      </c>
      <c r="N58" s="54">
        <f t="shared" si="17"/>
        <v>0</v>
      </c>
      <c r="O58" s="55">
        <f t="shared" si="18"/>
        <v>0</v>
      </c>
      <c r="P58" s="55">
        <f t="shared" si="19"/>
        <v>0</v>
      </c>
      <c r="Q58" s="56">
        <f t="shared" si="20"/>
        <v>0</v>
      </c>
      <c r="R58" s="77">
        <f t="shared" si="21"/>
        <v>0</v>
      </c>
      <c r="S58" s="247" t="e">
        <f t="shared" si="7"/>
        <v>#DIV/0!</v>
      </c>
      <c r="T58" s="206" t="e">
        <f t="shared" si="3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39"/>
      <c r="H62" s="172"/>
      <c r="I62" s="39"/>
      <c r="J62" s="39"/>
      <c r="K62" s="39"/>
      <c r="L62" s="39"/>
      <c r="M62" s="39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39"/>
      <c r="H63" s="172"/>
      <c r="I63" s="39"/>
      <c r="J63" s="39"/>
      <c r="K63" s="39"/>
      <c r="L63" s="39"/>
      <c r="M63" s="39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39"/>
      <c r="H64" s="172"/>
      <c r="I64" s="39"/>
      <c r="J64" s="39"/>
      <c r="K64" s="39"/>
      <c r="L64" s="39"/>
      <c r="M64" s="39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22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39"/>
      <c r="H65" s="172"/>
      <c r="I65" s="39"/>
      <c r="J65" s="39"/>
      <c r="K65" s="39"/>
      <c r="L65" s="39"/>
      <c r="M65" s="39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39"/>
      <c r="H66" s="172"/>
      <c r="I66" s="39"/>
      <c r="J66" s="39"/>
      <c r="K66" s="39"/>
      <c r="L66" s="39"/>
      <c r="M66" s="39"/>
      <c r="N66" s="116" t="s">
        <v>56</v>
      </c>
      <c r="O66" s="286" t="str">
        <f>IF($N$59=0,"0",1)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3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3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3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G72" s="169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G73" s="169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G74" s="169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G75" s="169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  <c r="T75" s="213"/>
    </row>
    <row r="76" spans="1:21">
      <c r="D76" s="175"/>
      <c r="G76" s="169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T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  <c r="T77" s="52"/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  <c r="G100" s="169"/>
    </row>
    <row r="101" spans="3:7" hidden="1">
      <c r="D101" s="217"/>
      <c r="E101" s="49" t="s">
        <v>69</v>
      </c>
      <c r="F101" s="49" t="s">
        <v>70</v>
      </c>
      <c r="G101" s="169"/>
    </row>
    <row r="102" spans="3:7" hidden="1">
      <c r="C102" s="49" t="s">
        <v>71</v>
      </c>
      <c r="D102" s="217"/>
      <c r="E102" s="230">
        <f>N59+R67+R68</f>
        <v>0</v>
      </c>
      <c r="F102" s="230"/>
      <c r="G102" s="169"/>
    </row>
    <row r="103" spans="3:7" hidden="1">
      <c r="C103" s="49" t="s">
        <v>72</v>
      </c>
      <c r="D103" s="217"/>
      <c r="E103" s="230">
        <f>R65</f>
        <v>0</v>
      </c>
      <c r="F103" s="230"/>
      <c r="G103" s="169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  <c r="G104" s="169"/>
    </row>
    <row r="105" spans="3:7" hidden="1">
      <c r="C105" s="49" t="s">
        <v>74</v>
      </c>
      <c r="D105" s="217"/>
      <c r="E105" s="230">
        <f>R64</f>
        <v>0</v>
      </c>
      <c r="F105" s="230">
        <v>0</v>
      </c>
      <c r="G105" s="169"/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  <c r="G106" s="169"/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  <c r="G107" s="169"/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  <c r="G108" s="169"/>
    </row>
    <row r="109" spans="3:7" hidden="1">
      <c r="C109" s="49" t="s">
        <v>78</v>
      </c>
      <c r="D109" s="217"/>
      <c r="E109" s="230">
        <f>F108</f>
        <v>0</v>
      </c>
      <c r="F109" s="230"/>
      <c r="G109" s="169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6844-3AC5-4ABA-8104-F9857C462AE8}">
  <dimension ref="A1:I711"/>
  <sheetViews>
    <sheetView topLeftCell="A686" workbookViewId="0">
      <selection activeCell="E688" sqref="E688"/>
    </sheetView>
  </sheetViews>
  <sheetFormatPr defaultColWidth="94.109375" defaultRowHeight="14.4"/>
  <cols>
    <col min="1" max="1" width="18.44140625" bestFit="1" customWidth="1"/>
    <col min="2" max="2" width="93.5546875" bestFit="1" customWidth="1"/>
    <col min="3" max="3" width="10.5546875" bestFit="1" customWidth="1"/>
    <col min="4" max="4" width="13.33203125" bestFit="1" customWidth="1"/>
    <col min="5" max="5" width="51" customWidth="1"/>
    <col min="6" max="67" width="9.5546875" customWidth="1"/>
  </cols>
  <sheetData>
    <row r="1" spans="1:9" ht="14.4" customHeight="1">
      <c r="A1" s="263" t="s">
        <v>97</v>
      </c>
      <c r="B1" s="263" t="s">
        <v>98</v>
      </c>
      <c r="C1" s="264" t="s">
        <v>99</v>
      </c>
      <c r="D1" t="s">
        <v>1729</v>
      </c>
      <c r="E1" s="334" t="s">
        <v>1730</v>
      </c>
      <c r="F1" s="324"/>
      <c r="G1" s="324"/>
      <c r="H1" s="324"/>
      <c r="I1" s="324"/>
    </row>
    <row r="2" spans="1:9">
      <c r="A2" s="265" t="s">
        <v>100</v>
      </c>
      <c r="B2" s="266" t="s">
        <v>101</v>
      </c>
      <c r="C2" s="267">
        <v>29.535</v>
      </c>
      <c r="E2" s="335"/>
      <c r="F2" s="324"/>
      <c r="G2" s="324"/>
      <c r="H2" s="324"/>
      <c r="I2" s="324"/>
    </row>
    <row r="3" spans="1:9">
      <c r="A3" s="266" t="s">
        <v>102</v>
      </c>
      <c r="B3" s="266" t="s">
        <v>103</v>
      </c>
      <c r="C3" s="267">
        <v>29.04</v>
      </c>
      <c r="E3" s="335"/>
      <c r="F3" s="324"/>
      <c r="G3" s="324"/>
      <c r="H3" s="324"/>
      <c r="I3" s="324"/>
    </row>
    <row r="4" spans="1:9">
      <c r="A4" s="266" t="s">
        <v>104</v>
      </c>
      <c r="B4" s="266" t="s">
        <v>105</v>
      </c>
      <c r="C4" s="267">
        <v>21.450000000000003</v>
      </c>
      <c r="E4" s="335"/>
      <c r="F4" s="324"/>
      <c r="G4" s="324"/>
      <c r="H4" s="324"/>
      <c r="I4" s="324"/>
    </row>
    <row r="5" spans="1:9">
      <c r="A5" s="266" t="s">
        <v>106</v>
      </c>
      <c r="B5" s="266" t="s">
        <v>107</v>
      </c>
      <c r="C5" s="267">
        <v>9.9</v>
      </c>
      <c r="E5" s="336"/>
      <c r="F5" s="324"/>
      <c r="G5" s="324"/>
      <c r="H5" s="324"/>
      <c r="I5" s="324"/>
    </row>
    <row r="6" spans="1:9">
      <c r="A6" s="265" t="s">
        <v>96</v>
      </c>
      <c r="B6" s="266" t="s">
        <v>108</v>
      </c>
      <c r="C6" s="267">
        <v>36.135000000000005</v>
      </c>
      <c r="E6" s="324"/>
      <c r="F6" s="324"/>
      <c r="G6" s="324"/>
      <c r="H6" s="324"/>
      <c r="I6" s="324"/>
    </row>
    <row r="7" spans="1:9">
      <c r="A7" s="265" t="s">
        <v>109</v>
      </c>
      <c r="B7" s="266" t="s">
        <v>110</v>
      </c>
      <c r="C7" s="267">
        <v>15.345000000000001</v>
      </c>
      <c r="E7" s="324"/>
      <c r="F7" s="324"/>
      <c r="G7" s="324"/>
      <c r="H7" s="324"/>
      <c r="I7" s="324"/>
    </row>
    <row r="8" spans="1:9">
      <c r="A8" s="265" t="s">
        <v>111</v>
      </c>
      <c r="B8" s="266" t="s">
        <v>112</v>
      </c>
      <c r="C8" s="267">
        <v>45.54</v>
      </c>
      <c r="E8" s="324"/>
      <c r="F8" s="324"/>
      <c r="G8" s="324"/>
      <c r="H8" s="324"/>
      <c r="I8" s="324"/>
    </row>
    <row r="9" spans="1:9">
      <c r="A9" s="265" t="s">
        <v>113</v>
      </c>
      <c r="B9" s="266" t="s">
        <v>114</v>
      </c>
      <c r="C9" s="267">
        <v>125.89500000000001</v>
      </c>
      <c r="E9" s="324"/>
      <c r="F9" s="324"/>
      <c r="G9" s="324"/>
      <c r="H9" s="324"/>
      <c r="I9" s="324"/>
    </row>
    <row r="10" spans="1:9">
      <c r="A10" s="265" t="s">
        <v>115</v>
      </c>
      <c r="B10" s="266" t="s">
        <v>116</v>
      </c>
      <c r="C10" s="267">
        <v>55.605000000000004</v>
      </c>
      <c r="E10" s="324"/>
      <c r="F10" s="324"/>
      <c r="G10" s="324"/>
      <c r="H10" s="324"/>
      <c r="I10" s="324"/>
    </row>
    <row r="11" spans="1:9">
      <c r="A11" s="266" t="s">
        <v>117</v>
      </c>
      <c r="B11" s="266" t="s">
        <v>118</v>
      </c>
      <c r="C11" s="267">
        <v>136.62</v>
      </c>
    </row>
    <row r="12" spans="1:9">
      <c r="A12" s="266" t="s">
        <v>119</v>
      </c>
      <c r="B12" s="266" t="s">
        <v>120</v>
      </c>
      <c r="C12" s="267">
        <v>17.325000000000003</v>
      </c>
    </row>
    <row r="13" spans="1:9">
      <c r="A13" s="266" t="s">
        <v>121</v>
      </c>
      <c r="B13" s="266" t="s">
        <v>122</v>
      </c>
      <c r="C13" s="267">
        <v>28.545000000000002</v>
      </c>
    </row>
    <row r="14" spans="1:9">
      <c r="A14" s="266" t="s">
        <v>123</v>
      </c>
      <c r="B14" s="266" t="s">
        <v>124</v>
      </c>
      <c r="C14" s="267">
        <v>35.805</v>
      </c>
    </row>
    <row r="15" spans="1:9">
      <c r="A15" s="266" t="s">
        <v>125</v>
      </c>
      <c r="B15" s="266" t="s">
        <v>126</v>
      </c>
      <c r="C15" s="267">
        <v>54.285000000000004</v>
      </c>
    </row>
    <row r="16" spans="1:9">
      <c r="A16" s="266" t="s">
        <v>127</v>
      </c>
      <c r="B16" s="266" t="s">
        <v>128</v>
      </c>
      <c r="C16" s="267">
        <v>26.895000000000003</v>
      </c>
    </row>
    <row r="17" spans="1:3">
      <c r="A17" s="266" t="s">
        <v>129</v>
      </c>
      <c r="B17" s="266" t="s">
        <v>130</v>
      </c>
      <c r="C17" s="267">
        <v>38.445</v>
      </c>
    </row>
    <row r="18" spans="1:3">
      <c r="A18" s="266" t="s">
        <v>131</v>
      </c>
      <c r="B18" s="266" t="s">
        <v>132</v>
      </c>
      <c r="C18" s="267">
        <v>347.49</v>
      </c>
    </row>
    <row r="19" spans="1:3">
      <c r="A19" s="266" t="s">
        <v>133</v>
      </c>
      <c r="B19" s="266" t="s">
        <v>134</v>
      </c>
      <c r="C19" s="267">
        <v>328.51499999999999</v>
      </c>
    </row>
    <row r="20" spans="1:3">
      <c r="A20" s="266" t="s">
        <v>135</v>
      </c>
      <c r="B20" s="266" t="s">
        <v>136</v>
      </c>
      <c r="C20" s="267">
        <v>122.10000000000001</v>
      </c>
    </row>
    <row r="21" spans="1:3">
      <c r="A21" s="266" t="s">
        <v>137</v>
      </c>
      <c r="B21" s="266" t="s">
        <v>138</v>
      </c>
      <c r="C21" s="267">
        <v>108.57000000000001</v>
      </c>
    </row>
    <row r="22" spans="1:3">
      <c r="A22" s="266" t="s">
        <v>139</v>
      </c>
      <c r="B22" s="266" t="s">
        <v>140</v>
      </c>
      <c r="C22" s="267">
        <v>175.06500000000003</v>
      </c>
    </row>
    <row r="23" spans="1:3">
      <c r="A23" s="266" t="s">
        <v>141</v>
      </c>
      <c r="B23" s="266" t="s">
        <v>142</v>
      </c>
      <c r="C23" s="267">
        <v>732.6</v>
      </c>
    </row>
    <row r="24" spans="1:3">
      <c r="A24" s="266" t="s">
        <v>143</v>
      </c>
      <c r="B24" s="266" t="s">
        <v>144</v>
      </c>
      <c r="C24" s="267">
        <v>108.735</v>
      </c>
    </row>
    <row r="25" spans="1:3">
      <c r="A25" s="266" t="s">
        <v>145</v>
      </c>
      <c r="B25" s="266" t="s">
        <v>146</v>
      </c>
      <c r="C25" s="267">
        <v>145.86000000000001</v>
      </c>
    </row>
    <row r="26" spans="1:3">
      <c r="A26" s="266" t="s">
        <v>147</v>
      </c>
      <c r="B26" s="266" t="s">
        <v>148</v>
      </c>
      <c r="C26" s="267">
        <v>321.25500000000005</v>
      </c>
    </row>
    <row r="27" spans="1:3">
      <c r="A27" s="266" t="s">
        <v>149</v>
      </c>
      <c r="B27" s="266" t="s">
        <v>150</v>
      </c>
      <c r="C27" s="267">
        <v>461.01</v>
      </c>
    </row>
    <row r="28" spans="1:3">
      <c r="A28" s="266" t="s">
        <v>151</v>
      </c>
      <c r="B28" s="266" t="s">
        <v>152</v>
      </c>
      <c r="C28" s="267">
        <v>147.01500000000001</v>
      </c>
    </row>
    <row r="29" spans="1:3">
      <c r="A29" s="266" t="s">
        <v>153</v>
      </c>
      <c r="B29" s="266" t="s">
        <v>154</v>
      </c>
      <c r="C29" s="267">
        <v>190.41</v>
      </c>
    </row>
    <row r="30" spans="1:3">
      <c r="A30" s="266" t="s">
        <v>155</v>
      </c>
      <c r="B30" s="266" t="s">
        <v>156</v>
      </c>
      <c r="C30" s="267">
        <v>482.13000000000005</v>
      </c>
    </row>
    <row r="31" spans="1:3">
      <c r="A31" s="265" t="s">
        <v>157</v>
      </c>
      <c r="B31" s="266" t="s">
        <v>158</v>
      </c>
      <c r="C31" s="267">
        <v>138.60000000000002</v>
      </c>
    </row>
    <row r="32" spans="1:3">
      <c r="A32" s="265" t="s">
        <v>159</v>
      </c>
      <c r="B32" s="266" t="s">
        <v>160</v>
      </c>
      <c r="C32" s="267">
        <v>211.86</v>
      </c>
    </row>
    <row r="33" spans="1:3">
      <c r="A33" s="265" t="s">
        <v>161</v>
      </c>
      <c r="B33" s="266" t="s">
        <v>162</v>
      </c>
      <c r="C33" s="267">
        <v>375.54</v>
      </c>
    </row>
    <row r="34" spans="1:3">
      <c r="A34" s="265" t="s">
        <v>163</v>
      </c>
      <c r="B34" s="266" t="s">
        <v>164</v>
      </c>
      <c r="C34" s="267">
        <v>168.63</v>
      </c>
    </row>
    <row r="35" spans="1:3">
      <c r="A35" s="265" t="s">
        <v>165</v>
      </c>
      <c r="B35" s="266" t="s">
        <v>166</v>
      </c>
      <c r="C35" s="267">
        <v>561</v>
      </c>
    </row>
    <row r="36" spans="1:3">
      <c r="A36" s="265" t="s">
        <v>167</v>
      </c>
      <c r="B36" s="266" t="s">
        <v>168</v>
      </c>
      <c r="C36" s="267">
        <v>607.69499999999994</v>
      </c>
    </row>
    <row r="37" spans="1:3">
      <c r="A37" s="265" t="s">
        <v>169</v>
      </c>
      <c r="B37" s="266" t="s">
        <v>170</v>
      </c>
      <c r="C37" s="267">
        <v>539.38499999999999</v>
      </c>
    </row>
    <row r="38" spans="1:3">
      <c r="A38" s="265" t="s">
        <v>171</v>
      </c>
      <c r="B38" s="266" t="s">
        <v>172</v>
      </c>
      <c r="C38" s="267">
        <v>539.38499999999999</v>
      </c>
    </row>
    <row r="39" spans="1:3">
      <c r="A39" s="265" t="s">
        <v>173</v>
      </c>
      <c r="B39" s="266" t="s">
        <v>174</v>
      </c>
      <c r="C39" s="267">
        <v>49.17</v>
      </c>
    </row>
    <row r="40" spans="1:3">
      <c r="A40" s="265" t="s">
        <v>175</v>
      </c>
      <c r="B40" s="266" t="s">
        <v>176</v>
      </c>
      <c r="C40" s="267">
        <v>43.56</v>
      </c>
    </row>
    <row r="41" spans="1:3">
      <c r="A41" s="265" t="s">
        <v>177</v>
      </c>
      <c r="B41" s="266" t="s">
        <v>178</v>
      </c>
      <c r="C41" s="267">
        <v>262.02</v>
      </c>
    </row>
    <row r="42" spans="1:3">
      <c r="A42" s="265" t="s">
        <v>179</v>
      </c>
      <c r="B42" s="266" t="s">
        <v>180</v>
      </c>
      <c r="C42" s="267">
        <v>189.42000000000002</v>
      </c>
    </row>
    <row r="43" spans="1:3">
      <c r="A43" s="265" t="s">
        <v>181</v>
      </c>
      <c r="B43" s="266" t="s">
        <v>182</v>
      </c>
      <c r="C43" s="267">
        <v>142.39500000000001</v>
      </c>
    </row>
    <row r="44" spans="1:3">
      <c r="A44" s="265" t="s">
        <v>183</v>
      </c>
      <c r="B44" s="266" t="s">
        <v>182</v>
      </c>
      <c r="C44" s="267">
        <v>107.74500000000002</v>
      </c>
    </row>
    <row r="45" spans="1:3">
      <c r="A45" s="265" t="s">
        <v>184</v>
      </c>
      <c r="B45" s="266" t="s">
        <v>185</v>
      </c>
      <c r="C45" s="267">
        <v>131.17500000000001</v>
      </c>
    </row>
    <row r="46" spans="1:3">
      <c r="A46" s="265" t="s">
        <v>186</v>
      </c>
      <c r="B46" s="266" t="s">
        <v>187</v>
      </c>
      <c r="C46" s="267">
        <v>51.975000000000001</v>
      </c>
    </row>
    <row r="47" spans="1:3">
      <c r="A47" s="265" t="s">
        <v>188</v>
      </c>
      <c r="B47" s="266" t="s">
        <v>189</v>
      </c>
      <c r="C47" s="267">
        <v>28.05</v>
      </c>
    </row>
    <row r="48" spans="1:3">
      <c r="A48" s="265" t="s">
        <v>190</v>
      </c>
      <c r="B48" s="266" t="s">
        <v>191</v>
      </c>
      <c r="C48" s="267">
        <v>65.67</v>
      </c>
    </row>
    <row r="49" spans="1:3">
      <c r="A49" s="265" t="s">
        <v>192</v>
      </c>
      <c r="B49" s="266" t="s">
        <v>193</v>
      </c>
      <c r="C49" s="267">
        <v>125.235</v>
      </c>
    </row>
    <row r="50" spans="1:3">
      <c r="A50" s="265" t="s">
        <v>194</v>
      </c>
      <c r="B50" s="266" t="s">
        <v>195</v>
      </c>
      <c r="C50" s="267">
        <v>77.055000000000007</v>
      </c>
    </row>
    <row r="51" spans="1:3">
      <c r="A51" s="265" t="s">
        <v>196</v>
      </c>
      <c r="B51" s="266" t="s">
        <v>197</v>
      </c>
      <c r="C51" s="267">
        <v>58.575000000000003</v>
      </c>
    </row>
    <row r="52" spans="1:3">
      <c r="A52" s="268" t="s">
        <v>198</v>
      </c>
      <c r="B52" s="266" t="s">
        <v>199</v>
      </c>
      <c r="C52" s="267">
        <v>79.695000000000007</v>
      </c>
    </row>
    <row r="53" spans="1:3">
      <c r="A53" s="265" t="s">
        <v>200</v>
      </c>
      <c r="B53" s="266" t="s">
        <v>201</v>
      </c>
      <c r="C53" s="267">
        <v>34.814999999999998</v>
      </c>
    </row>
    <row r="54" spans="1:3">
      <c r="A54" s="268" t="s">
        <v>202</v>
      </c>
      <c r="B54" s="266" t="s">
        <v>203</v>
      </c>
      <c r="C54" s="267">
        <v>133.815</v>
      </c>
    </row>
    <row r="55" spans="1:3">
      <c r="A55" s="265" t="s">
        <v>204</v>
      </c>
      <c r="B55" s="266" t="s">
        <v>205</v>
      </c>
      <c r="C55" s="267">
        <v>50.985000000000007</v>
      </c>
    </row>
    <row r="56" spans="1:3">
      <c r="A56" s="265" t="s">
        <v>206</v>
      </c>
      <c r="B56" s="266" t="s">
        <v>207</v>
      </c>
      <c r="C56" s="267">
        <v>28.545000000000002</v>
      </c>
    </row>
    <row r="57" spans="1:3">
      <c r="A57" s="265" t="s">
        <v>208</v>
      </c>
      <c r="B57" s="266" t="s">
        <v>209</v>
      </c>
      <c r="C57" s="267">
        <v>28.215</v>
      </c>
    </row>
    <row r="58" spans="1:3">
      <c r="A58" s="265" t="s">
        <v>210</v>
      </c>
      <c r="B58" s="266" t="s">
        <v>211</v>
      </c>
      <c r="C58" s="267">
        <v>33</v>
      </c>
    </row>
    <row r="59" spans="1:3">
      <c r="A59" s="265" t="s">
        <v>212</v>
      </c>
      <c r="B59" s="266" t="s">
        <v>213</v>
      </c>
      <c r="C59" s="267">
        <v>32.340000000000003</v>
      </c>
    </row>
    <row r="60" spans="1:3">
      <c r="A60" s="265" t="s">
        <v>214</v>
      </c>
      <c r="B60" s="266" t="s">
        <v>215</v>
      </c>
      <c r="C60" s="267">
        <v>49.83</v>
      </c>
    </row>
    <row r="61" spans="1:3">
      <c r="A61" s="265" t="s">
        <v>216</v>
      </c>
      <c r="B61" s="266" t="s">
        <v>217</v>
      </c>
      <c r="C61" s="267">
        <v>43.725000000000001</v>
      </c>
    </row>
    <row r="62" spans="1:3">
      <c r="A62" s="265" t="s">
        <v>218</v>
      </c>
      <c r="B62" s="266" t="s">
        <v>219</v>
      </c>
      <c r="C62" s="267">
        <v>60.72</v>
      </c>
    </row>
    <row r="63" spans="1:3">
      <c r="A63" s="265" t="s">
        <v>220</v>
      </c>
      <c r="B63" s="266" t="s">
        <v>221</v>
      </c>
      <c r="C63" s="267">
        <v>95.204999999999998</v>
      </c>
    </row>
    <row r="64" spans="1:3">
      <c r="A64" s="265" t="s">
        <v>222</v>
      </c>
      <c r="B64" s="266" t="s">
        <v>223</v>
      </c>
      <c r="C64" s="267">
        <v>39.93</v>
      </c>
    </row>
    <row r="65" spans="1:3">
      <c r="A65" s="265" t="s">
        <v>224</v>
      </c>
      <c r="B65" s="266" t="s">
        <v>225</v>
      </c>
      <c r="C65" s="267">
        <v>111.87000000000002</v>
      </c>
    </row>
    <row r="66" spans="1:3">
      <c r="A66" s="265" t="s">
        <v>226</v>
      </c>
      <c r="B66" s="266" t="s">
        <v>227</v>
      </c>
      <c r="C66" s="267">
        <v>156.255</v>
      </c>
    </row>
    <row r="67" spans="1:3">
      <c r="A67" s="265" t="s">
        <v>228</v>
      </c>
      <c r="B67" s="266" t="s">
        <v>229</v>
      </c>
      <c r="C67" s="267">
        <v>226.38</v>
      </c>
    </row>
    <row r="68" spans="1:3">
      <c r="A68" s="265" t="s">
        <v>230</v>
      </c>
      <c r="B68" s="266" t="s">
        <v>231</v>
      </c>
      <c r="C68" s="267">
        <v>47.025000000000006</v>
      </c>
    </row>
    <row r="69" spans="1:3">
      <c r="A69" s="265" t="s">
        <v>232</v>
      </c>
      <c r="B69" s="266" t="s">
        <v>233</v>
      </c>
      <c r="C69" s="267">
        <v>111.04500000000002</v>
      </c>
    </row>
    <row r="70" spans="1:3">
      <c r="A70" s="265" t="s">
        <v>234</v>
      </c>
      <c r="B70" s="266" t="s">
        <v>235</v>
      </c>
      <c r="C70" s="267">
        <v>349.30500000000006</v>
      </c>
    </row>
    <row r="71" spans="1:3">
      <c r="A71" s="265" t="s">
        <v>236</v>
      </c>
      <c r="B71" s="266" t="s">
        <v>237</v>
      </c>
      <c r="C71" s="267">
        <v>155.76000000000002</v>
      </c>
    </row>
    <row r="72" spans="1:3">
      <c r="A72" s="265" t="s">
        <v>238</v>
      </c>
      <c r="B72" s="266" t="s">
        <v>239</v>
      </c>
      <c r="C72" s="267">
        <v>188.10000000000002</v>
      </c>
    </row>
    <row r="73" spans="1:3">
      <c r="A73" s="265" t="s">
        <v>240</v>
      </c>
      <c r="B73" s="266" t="s">
        <v>241</v>
      </c>
      <c r="C73" s="267">
        <v>397.32</v>
      </c>
    </row>
    <row r="74" spans="1:3">
      <c r="A74" s="265" t="s">
        <v>242</v>
      </c>
      <c r="B74" s="266" t="s">
        <v>243</v>
      </c>
      <c r="C74" s="267">
        <v>363.82500000000005</v>
      </c>
    </row>
    <row r="75" spans="1:3">
      <c r="A75" s="265" t="s">
        <v>244</v>
      </c>
      <c r="B75" s="266" t="s">
        <v>245</v>
      </c>
      <c r="C75" s="267">
        <v>625.35</v>
      </c>
    </row>
    <row r="76" spans="1:3">
      <c r="A76" s="265" t="s">
        <v>246</v>
      </c>
      <c r="B76" s="266" t="s">
        <v>247</v>
      </c>
      <c r="C76" s="267">
        <v>616.11000000000013</v>
      </c>
    </row>
    <row r="77" spans="1:3">
      <c r="A77" s="265" t="s">
        <v>248</v>
      </c>
      <c r="B77" s="266" t="s">
        <v>249</v>
      </c>
      <c r="C77" s="267">
        <v>609.01499999999999</v>
      </c>
    </row>
    <row r="78" spans="1:3">
      <c r="A78" s="265" t="s">
        <v>250</v>
      </c>
      <c r="B78" s="266" t="s">
        <v>251</v>
      </c>
      <c r="C78" s="267">
        <v>603.24</v>
      </c>
    </row>
    <row r="79" spans="1:3">
      <c r="A79" s="265" t="s">
        <v>252</v>
      </c>
      <c r="B79" s="266" t="s">
        <v>253</v>
      </c>
      <c r="C79" s="267">
        <v>598.29000000000008</v>
      </c>
    </row>
    <row r="80" spans="1:3">
      <c r="A80" s="265" t="s">
        <v>254</v>
      </c>
      <c r="B80" s="266" t="s">
        <v>245</v>
      </c>
      <c r="C80" s="267">
        <v>570.24</v>
      </c>
    </row>
    <row r="81" spans="1:3">
      <c r="A81" s="265" t="s">
        <v>255</v>
      </c>
      <c r="B81" s="266" t="s">
        <v>247</v>
      </c>
      <c r="C81" s="267">
        <v>550.77</v>
      </c>
    </row>
    <row r="82" spans="1:3">
      <c r="A82" s="265" t="s">
        <v>256</v>
      </c>
      <c r="B82" s="266" t="s">
        <v>249</v>
      </c>
      <c r="C82" s="267">
        <v>549.78</v>
      </c>
    </row>
    <row r="83" spans="1:3">
      <c r="A83" s="265" t="s">
        <v>257</v>
      </c>
      <c r="B83" s="266" t="s">
        <v>251</v>
      </c>
      <c r="C83" s="267">
        <v>544.66499999999996</v>
      </c>
    </row>
    <row r="84" spans="1:3">
      <c r="A84" s="265" t="s">
        <v>258</v>
      </c>
      <c r="B84" s="266" t="s">
        <v>253</v>
      </c>
      <c r="C84" s="267">
        <v>535.09500000000003</v>
      </c>
    </row>
    <row r="85" spans="1:3">
      <c r="A85" s="265" t="s">
        <v>259</v>
      </c>
      <c r="B85" s="266" t="s">
        <v>260</v>
      </c>
      <c r="C85" s="267">
        <v>200.31</v>
      </c>
    </row>
    <row r="86" spans="1:3">
      <c r="A86" s="265" t="s">
        <v>261</v>
      </c>
      <c r="B86" s="266" t="s">
        <v>262</v>
      </c>
      <c r="C86" s="267">
        <v>133.48500000000001</v>
      </c>
    </row>
    <row r="87" spans="1:3">
      <c r="A87" s="265" t="s">
        <v>263</v>
      </c>
      <c r="B87" s="266" t="s">
        <v>264</v>
      </c>
      <c r="C87" s="267">
        <v>162.69000000000003</v>
      </c>
    </row>
    <row r="88" spans="1:3">
      <c r="A88" s="265" t="s">
        <v>265</v>
      </c>
      <c r="B88" s="266" t="s">
        <v>266</v>
      </c>
      <c r="C88" s="267">
        <v>571.72500000000002</v>
      </c>
    </row>
    <row r="89" spans="1:3">
      <c r="A89" s="268" t="s">
        <v>267</v>
      </c>
      <c r="B89" s="266" t="s">
        <v>268</v>
      </c>
      <c r="C89" s="267">
        <v>169.29000000000002</v>
      </c>
    </row>
    <row r="90" spans="1:3">
      <c r="A90" s="265" t="s">
        <v>269</v>
      </c>
      <c r="B90" s="266" t="s">
        <v>270</v>
      </c>
      <c r="C90" s="267">
        <v>196.68</v>
      </c>
    </row>
    <row r="91" spans="1:3">
      <c r="A91" s="265" t="s">
        <v>271</v>
      </c>
      <c r="B91" s="266" t="s">
        <v>272</v>
      </c>
      <c r="C91" s="267">
        <v>41.744999999999997</v>
      </c>
    </row>
    <row r="92" spans="1:3">
      <c r="A92" s="265" t="s">
        <v>273</v>
      </c>
      <c r="B92" s="266" t="s">
        <v>274</v>
      </c>
      <c r="C92" s="267">
        <v>41.744999999999997</v>
      </c>
    </row>
    <row r="93" spans="1:3">
      <c r="A93" s="265" t="s">
        <v>275</v>
      </c>
      <c r="B93" s="266" t="s">
        <v>105</v>
      </c>
      <c r="C93" s="267">
        <v>22.77</v>
      </c>
    </row>
    <row r="94" spans="1:3">
      <c r="A94" s="265" t="s">
        <v>276</v>
      </c>
      <c r="B94" s="266" t="s">
        <v>277</v>
      </c>
      <c r="C94" s="267">
        <v>466.78500000000003</v>
      </c>
    </row>
    <row r="95" spans="1:3">
      <c r="A95" s="265" t="s">
        <v>278</v>
      </c>
      <c r="B95" s="266" t="s">
        <v>279</v>
      </c>
      <c r="C95" s="267">
        <v>294.03000000000003</v>
      </c>
    </row>
    <row r="96" spans="1:3">
      <c r="A96" s="265" t="s">
        <v>280</v>
      </c>
      <c r="B96" s="266" t="s">
        <v>281</v>
      </c>
      <c r="C96" s="267">
        <v>410.35500000000002</v>
      </c>
    </row>
    <row r="97" spans="1:3">
      <c r="A97" s="265" t="s">
        <v>282</v>
      </c>
      <c r="B97" s="266" t="s">
        <v>283</v>
      </c>
      <c r="C97" s="267">
        <v>485.1</v>
      </c>
    </row>
    <row r="98" spans="1:3">
      <c r="A98" s="265" t="s">
        <v>284</v>
      </c>
      <c r="B98" s="266" t="s">
        <v>285</v>
      </c>
      <c r="C98" s="267">
        <v>1369.8300000000002</v>
      </c>
    </row>
    <row r="99" spans="1:3" ht="28.8">
      <c r="A99" s="265" t="s">
        <v>286</v>
      </c>
      <c r="B99" s="266" t="s">
        <v>287</v>
      </c>
      <c r="C99" s="267">
        <v>16.004999999999999</v>
      </c>
    </row>
    <row r="100" spans="1:3" ht="28.8">
      <c r="A100" s="265" t="s">
        <v>288</v>
      </c>
      <c r="B100" s="266" t="s">
        <v>289</v>
      </c>
      <c r="C100" s="267">
        <v>24.42</v>
      </c>
    </row>
    <row r="101" spans="1:3">
      <c r="A101" s="265" t="s">
        <v>290</v>
      </c>
      <c r="B101" s="266" t="s">
        <v>291</v>
      </c>
      <c r="C101" s="267">
        <v>57.585000000000008</v>
      </c>
    </row>
    <row r="102" spans="1:3">
      <c r="A102" s="265" t="s">
        <v>292</v>
      </c>
      <c r="B102" s="266" t="s">
        <v>293</v>
      </c>
      <c r="C102" s="267">
        <v>52.965000000000003</v>
      </c>
    </row>
    <row r="103" spans="1:3">
      <c r="A103" s="265" t="s">
        <v>294</v>
      </c>
      <c r="B103" s="266" t="s">
        <v>295</v>
      </c>
      <c r="C103" s="267">
        <v>26.565000000000001</v>
      </c>
    </row>
    <row r="104" spans="1:3">
      <c r="A104" s="265" t="s">
        <v>296</v>
      </c>
      <c r="B104" s="266" t="s">
        <v>297</v>
      </c>
      <c r="C104" s="267">
        <v>31.020000000000003</v>
      </c>
    </row>
    <row r="105" spans="1:3">
      <c r="A105" s="265" t="s">
        <v>298</v>
      </c>
      <c r="B105" s="266" t="s">
        <v>299</v>
      </c>
      <c r="C105" s="267">
        <v>78.045000000000016</v>
      </c>
    </row>
    <row r="106" spans="1:3">
      <c r="A106" s="265" t="s">
        <v>300</v>
      </c>
      <c r="B106" s="266" t="s">
        <v>301</v>
      </c>
      <c r="C106" s="267">
        <v>410.02500000000003</v>
      </c>
    </row>
    <row r="107" spans="1:3">
      <c r="A107" s="266" t="s">
        <v>302</v>
      </c>
      <c r="B107" s="266" t="s">
        <v>303</v>
      </c>
      <c r="C107" s="267">
        <v>69.795000000000002</v>
      </c>
    </row>
    <row r="108" spans="1:3">
      <c r="A108" s="266" t="s">
        <v>304</v>
      </c>
      <c r="B108" s="266" t="s">
        <v>305</v>
      </c>
      <c r="C108" s="267">
        <v>76.56</v>
      </c>
    </row>
    <row r="109" spans="1:3">
      <c r="A109" s="266" t="s">
        <v>306</v>
      </c>
      <c r="B109" s="266" t="s">
        <v>307</v>
      </c>
      <c r="C109" s="267">
        <v>208.06500000000003</v>
      </c>
    </row>
    <row r="110" spans="1:3">
      <c r="A110" s="266" t="s">
        <v>308</v>
      </c>
      <c r="B110" s="266" t="s">
        <v>309</v>
      </c>
      <c r="C110" s="267">
        <v>463.32000000000005</v>
      </c>
    </row>
    <row r="111" spans="1:3">
      <c r="A111" s="266" t="s">
        <v>310</v>
      </c>
      <c r="B111" s="266" t="s">
        <v>144</v>
      </c>
      <c r="C111" s="267">
        <v>233.14500000000001</v>
      </c>
    </row>
    <row r="112" spans="1:3" ht="28.8">
      <c r="A112" s="266" t="s">
        <v>311</v>
      </c>
      <c r="B112" s="266" t="s">
        <v>312</v>
      </c>
      <c r="C112" s="267">
        <v>508.86</v>
      </c>
    </row>
    <row r="113" spans="1:3">
      <c r="A113" s="266" t="s">
        <v>313</v>
      </c>
      <c r="B113" s="266" t="s">
        <v>314</v>
      </c>
      <c r="C113" s="267">
        <v>508.86</v>
      </c>
    </row>
    <row r="114" spans="1:3">
      <c r="A114" s="266" t="s">
        <v>315</v>
      </c>
      <c r="B114" s="266" t="s">
        <v>316</v>
      </c>
      <c r="C114" s="267">
        <v>403.09500000000003</v>
      </c>
    </row>
    <row r="115" spans="1:3">
      <c r="A115" s="266" t="s">
        <v>317</v>
      </c>
      <c r="B115" s="266" t="s">
        <v>318</v>
      </c>
      <c r="C115" s="267">
        <v>461.01</v>
      </c>
    </row>
    <row r="116" spans="1:3">
      <c r="A116" s="266" t="s">
        <v>319</v>
      </c>
      <c r="B116" s="266" t="s">
        <v>320</v>
      </c>
      <c r="C116" s="267">
        <v>367.45500000000004</v>
      </c>
    </row>
    <row r="117" spans="1:3">
      <c r="A117" s="266" t="s">
        <v>321</v>
      </c>
      <c r="B117" s="266" t="s">
        <v>322</v>
      </c>
      <c r="C117" s="267">
        <v>474.87</v>
      </c>
    </row>
    <row r="118" spans="1:3">
      <c r="A118" s="266" t="s">
        <v>323</v>
      </c>
      <c r="B118" s="266" t="s">
        <v>324</v>
      </c>
      <c r="C118" s="267">
        <v>230.505</v>
      </c>
    </row>
    <row r="119" spans="1:3">
      <c r="A119" s="266" t="s">
        <v>325</v>
      </c>
      <c r="B119" s="266" t="s">
        <v>326</v>
      </c>
      <c r="C119" s="267">
        <v>55.110000000000007</v>
      </c>
    </row>
    <row r="120" spans="1:3">
      <c r="A120" s="266" t="s">
        <v>327</v>
      </c>
      <c r="B120" s="266" t="s">
        <v>328</v>
      </c>
      <c r="C120" s="267">
        <v>482.13000000000005</v>
      </c>
    </row>
    <row r="121" spans="1:3">
      <c r="A121" s="265" t="s">
        <v>329</v>
      </c>
      <c r="B121" s="266" t="s">
        <v>330</v>
      </c>
      <c r="C121" s="267">
        <v>412.00500000000005</v>
      </c>
    </row>
    <row r="122" spans="1:3" ht="28.8">
      <c r="A122" s="265" t="s">
        <v>331</v>
      </c>
      <c r="B122" s="266" t="s">
        <v>332</v>
      </c>
      <c r="C122" s="267">
        <v>539.22</v>
      </c>
    </row>
    <row r="123" spans="1:3">
      <c r="A123" s="265" t="s">
        <v>333</v>
      </c>
      <c r="B123" s="266" t="s">
        <v>334</v>
      </c>
      <c r="C123" s="267">
        <v>176.55</v>
      </c>
    </row>
    <row r="124" spans="1:3">
      <c r="A124" s="265" t="s">
        <v>335</v>
      </c>
      <c r="B124" s="266" t="s">
        <v>336</v>
      </c>
      <c r="C124" s="267">
        <v>276.54000000000002</v>
      </c>
    </row>
    <row r="125" spans="1:3">
      <c r="A125" s="265" t="s">
        <v>337</v>
      </c>
      <c r="B125" s="266" t="s">
        <v>338</v>
      </c>
      <c r="C125" s="267">
        <v>308.55</v>
      </c>
    </row>
    <row r="126" spans="1:3">
      <c r="A126" s="265" t="s">
        <v>339</v>
      </c>
      <c r="B126" s="266" t="s">
        <v>340</v>
      </c>
      <c r="C126" s="267">
        <v>449.62500000000006</v>
      </c>
    </row>
    <row r="127" spans="1:3">
      <c r="A127" s="265" t="s">
        <v>341</v>
      </c>
      <c r="B127" s="266" t="s">
        <v>303</v>
      </c>
      <c r="C127" s="267">
        <v>107.58000000000001</v>
      </c>
    </row>
    <row r="128" spans="1:3">
      <c r="A128" s="265" t="s">
        <v>342</v>
      </c>
      <c r="B128" s="266" t="s">
        <v>343</v>
      </c>
      <c r="C128" s="267">
        <v>425.20500000000004</v>
      </c>
    </row>
    <row r="129" spans="1:3">
      <c r="A129" s="265" t="s">
        <v>344</v>
      </c>
      <c r="B129" s="266" t="s">
        <v>345</v>
      </c>
      <c r="C129" s="267">
        <v>557.37</v>
      </c>
    </row>
    <row r="130" spans="1:3">
      <c r="A130" s="265" t="s">
        <v>346</v>
      </c>
      <c r="B130" s="266" t="s">
        <v>347</v>
      </c>
      <c r="C130" s="267">
        <v>388.08000000000004</v>
      </c>
    </row>
    <row r="131" spans="1:3">
      <c r="A131" s="265" t="s">
        <v>348</v>
      </c>
      <c r="B131" s="266" t="s">
        <v>349</v>
      </c>
      <c r="C131" s="267">
        <v>559.02</v>
      </c>
    </row>
    <row r="132" spans="1:3">
      <c r="A132" s="265" t="s">
        <v>350</v>
      </c>
      <c r="B132" s="266" t="s">
        <v>351</v>
      </c>
      <c r="C132" s="267">
        <v>622.21500000000003</v>
      </c>
    </row>
    <row r="133" spans="1:3">
      <c r="A133" s="265" t="s">
        <v>352</v>
      </c>
      <c r="B133" s="266" t="s">
        <v>353</v>
      </c>
      <c r="C133" s="267">
        <v>766.755</v>
      </c>
    </row>
    <row r="134" spans="1:3">
      <c r="A134" s="265" t="s">
        <v>354</v>
      </c>
      <c r="B134" s="266" t="s">
        <v>355</v>
      </c>
      <c r="C134" s="267">
        <v>887.37</v>
      </c>
    </row>
    <row r="135" spans="1:3">
      <c r="A135" s="265" t="s">
        <v>356</v>
      </c>
      <c r="B135" s="266" t="s">
        <v>357</v>
      </c>
      <c r="C135" s="267">
        <v>1021.3500000000001</v>
      </c>
    </row>
    <row r="136" spans="1:3">
      <c r="A136" s="265" t="s">
        <v>358</v>
      </c>
      <c r="B136" s="266" t="s">
        <v>359</v>
      </c>
      <c r="C136" s="267">
        <v>256.245</v>
      </c>
    </row>
    <row r="137" spans="1:3">
      <c r="A137" s="265" t="s">
        <v>360</v>
      </c>
      <c r="B137" s="266" t="s">
        <v>361</v>
      </c>
      <c r="C137" s="267">
        <v>74.58</v>
      </c>
    </row>
    <row r="138" spans="1:3">
      <c r="A138" s="265" t="s">
        <v>362</v>
      </c>
      <c r="B138" s="266" t="s">
        <v>144</v>
      </c>
      <c r="C138" s="267">
        <v>105.93</v>
      </c>
    </row>
    <row r="139" spans="1:3">
      <c r="A139" s="265" t="s">
        <v>363</v>
      </c>
      <c r="B139" s="266" t="s">
        <v>364</v>
      </c>
      <c r="C139" s="267">
        <v>161.20499999999998</v>
      </c>
    </row>
    <row r="140" spans="1:3">
      <c r="A140" s="265" t="s">
        <v>365</v>
      </c>
      <c r="B140" s="266" t="s">
        <v>366</v>
      </c>
      <c r="C140" s="267">
        <v>128.04</v>
      </c>
    </row>
    <row r="141" spans="1:3">
      <c r="A141" s="265" t="s">
        <v>367</v>
      </c>
      <c r="B141" s="266" t="s">
        <v>368</v>
      </c>
      <c r="C141" s="267">
        <v>263.67</v>
      </c>
    </row>
    <row r="142" spans="1:3">
      <c r="A142" s="265" t="s">
        <v>369</v>
      </c>
      <c r="B142" s="266" t="s">
        <v>370</v>
      </c>
      <c r="C142" s="267">
        <v>359.53499999999997</v>
      </c>
    </row>
    <row r="143" spans="1:3">
      <c r="A143" s="265" t="s">
        <v>371</v>
      </c>
      <c r="B143" s="266" t="s">
        <v>372</v>
      </c>
      <c r="C143" s="267">
        <v>415.63499999999999</v>
      </c>
    </row>
    <row r="144" spans="1:3">
      <c r="A144" s="265" t="s">
        <v>373</v>
      </c>
      <c r="B144" s="266" t="s">
        <v>374</v>
      </c>
      <c r="C144" s="267">
        <v>56.43</v>
      </c>
    </row>
    <row r="145" spans="1:3">
      <c r="A145" s="265" t="s">
        <v>375</v>
      </c>
      <c r="B145" s="266" t="s">
        <v>376</v>
      </c>
      <c r="C145" s="267">
        <v>156.58500000000001</v>
      </c>
    </row>
    <row r="146" spans="1:3">
      <c r="A146" s="265" t="s">
        <v>377</v>
      </c>
      <c r="B146" s="266" t="s">
        <v>378</v>
      </c>
      <c r="C146" s="267">
        <v>397.65000000000003</v>
      </c>
    </row>
    <row r="147" spans="1:3">
      <c r="A147" s="268" t="s">
        <v>379</v>
      </c>
      <c r="B147" s="266" t="s">
        <v>380</v>
      </c>
      <c r="C147" s="267">
        <v>437.41500000000002</v>
      </c>
    </row>
    <row r="148" spans="1:3">
      <c r="A148" s="268" t="s">
        <v>381</v>
      </c>
      <c r="B148" s="266" t="s">
        <v>382</v>
      </c>
      <c r="C148" s="267">
        <v>34.979999999999997</v>
      </c>
    </row>
    <row r="149" spans="1:3">
      <c r="A149" s="265" t="s">
        <v>383</v>
      </c>
      <c r="B149" s="266" t="s">
        <v>384</v>
      </c>
      <c r="C149" s="267">
        <v>19.965</v>
      </c>
    </row>
    <row r="150" spans="1:3">
      <c r="A150" s="265" t="s">
        <v>385</v>
      </c>
      <c r="B150" s="266" t="s">
        <v>386</v>
      </c>
      <c r="C150" s="267">
        <v>367.62</v>
      </c>
    </row>
    <row r="151" spans="1:3">
      <c r="A151" s="265" t="s">
        <v>387</v>
      </c>
      <c r="B151" s="266" t="s">
        <v>388</v>
      </c>
      <c r="C151" s="267">
        <v>303.27000000000004</v>
      </c>
    </row>
    <row r="152" spans="1:3">
      <c r="A152" s="265" t="s">
        <v>389</v>
      </c>
      <c r="B152" s="266" t="s">
        <v>390</v>
      </c>
      <c r="C152" s="267">
        <v>433.45500000000004</v>
      </c>
    </row>
    <row r="153" spans="1:3">
      <c r="A153" s="265" t="s">
        <v>391</v>
      </c>
      <c r="B153" s="266" t="s">
        <v>392</v>
      </c>
      <c r="C153" s="267">
        <v>443.02500000000003</v>
      </c>
    </row>
    <row r="154" spans="1:3">
      <c r="A154" s="265" t="s">
        <v>393</v>
      </c>
      <c r="B154" s="266" t="s">
        <v>144</v>
      </c>
      <c r="C154" s="267">
        <v>19.14</v>
      </c>
    </row>
    <row r="155" spans="1:3">
      <c r="A155" s="265" t="s">
        <v>394</v>
      </c>
      <c r="B155" s="266" t="s">
        <v>364</v>
      </c>
      <c r="C155" s="267">
        <v>34.814999999999998</v>
      </c>
    </row>
    <row r="156" spans="1:3">
      <c r="A156" s="265" t="s">
        <v>395</v>
      </c>
      <c r="B156" s="266" t="s">
        <v>396</v>
      </c>
      <c r="C156" s="267">
        <v>25.080000000000002</v>
      </c>
    </row>
    <row r="157" spans="1:3">
      <c r="A157" s="265" t="s">
        <v>397</v>
      </c>
      <c r="B157" s="266" t="s">
        <v>398</v>
      </c>
      <c r="C157" s="267">
        <v>34.32</v>
      </c>
    </row>
    <row r="158" spans="1:3">
      <c r="A158" s="265" t="s">
        <v>399</v>
      </c>
      <c r="B158" s="266" t="s">
        <v>400</v>
      </c>
      <c r="C158" s="267">
        <v>54.45</v>
      </c>
    </row>
    <row r="159" spans="1:3">
      <c r="A159" s="265" t="s">
        <v>401</v>
      </c>
      <c r="B159" s="266" t="s">
        <v>402</v>
      </c>
      <c r="C159" s="267">
        <v>29.205000000000002</v>
      </c>
    </row>
    <row r="160" spans="1:3">
      <c r="A160" s="265" t="s">
        <v>403</v>
      </c>
      <c r="B160" s="266" t="s">
        <v>404</v>
      </c>
      <c r="C160" s="267">
        <v>65.67</v>
      </c>
    </row>
    <row r="161" spans="1:3">
      <c r="A161" s="265" t="s">
        <v>405</v>
      </c>
      <c r="B161" s="266" t="s">
        <v>406</v>
      </c>
      <c r="C161" s="267">
        <v>125.235</v>
      </c>
    </row>
    <row r="162" spans="1:3">
      <c r="A162" s="265" t="s">
        <v>407</v>
      </c>
      <c r="B162" s="266" t="s">
        <v>408</v>
      </c>
      <c r="C162" s="267">
        <v>124.41000000000001</v>
      </c>
    </row>
    <row r="163" spans="1:3">
      <c r="A163" s="265" t="s">
        <v>409</v>
      </c>
      <c r="B163" s="266" t="s">
        <v>410</v>
      </c>
      <c r="C163" s="267">
        <v>134.64000000000001</v>
      </c>
    </row>
    <row r="164" spans="1:3">
      <c r="A164" s="265" t="s">
        <v>411</v>
      </c>
      <c r="B164" s="266" t="s">
        <v>412</v>
      </c>
      <c r="C164" s="267">
        <v>117.81</v>
      </c>
    </row>
    <row r="165" spans="1:3">
      <c r="A165" s="265" t="s">
        <v>413</v>
      </c>
      <c r="B165" s="266" t="s">
        <v>414</v>
      </c>
      <c r="C165" s="267">
        <v>134.80500000000001</v>
      </c>
    </row>
    <row r="166" spans="1:3">
      <c r="A166" s="265" t="s">
        <v>415</v>
      </c>
      <c r="B166" s="266" t="s">
        <v>416</v>
      </c>
      <c r="C166" s="267">
        <v>130.51500000000001</v>
      </c>
    </row>
    <row r="167" spans="1:3">
      <c r="A167" s="265" t="s">
        <v>417</v>
      </c>
      <c r="B167" s="266" t="s">
        <v>418</v>
      </c>
      <c r="C167" s="267">
        <v>136.29</v>
      </c>
    </row>
    <row r="168" spans="1:3">
      <c r="A168" s="265" t="s">
        <v>419</v>
      </c>
      <c r="B168" s="266" t="s">
        <v>420</v>
      </c>
      <c r="C168" s="267">
        <v>94.050000000000011</v>
      </c>
    </row>
    <row r="169" spans="1:3">
      <c r="A169" s="268" t="s">
        <v>421</v>
      </c>
      <c r="B169" s="266" t="s">
        <v>422</v>
      </c>
      <c r="C169" s="267">
        <v>101.64</v>
      </c>
    </row>
    <row r="170" spans="1:3">
      <c r="A170" s="268" t="s">
        <v>423</v>
      </c>
      <c r="B170" s="266" t="s">
        <v>424</v>
      </c>
      <c r="C170" s="267">
        <v>56.1</v>
      </c>
    </row>
    <row r="171" spans="1:3">
      <c r="A171" s="265" t="s">
        <v>425</v>
      </c>
      <c r="B171" s="266" t="s">
        <v>426</v>
      </c>
      <c r="C171" s="267">
        <v>50.985000000000007</v>
      </c>
    </row>
    <row r="172" spans="1:3">
      <c r="A172" s="265" t="s">
        <v>427</v>
      </c>
      <c r="B172" s="266" t="s">
        <v>428</v>
      </c>
      <c r="C172" s="267">
        <v>73.920000000000016</v>
      </c>
    </row>
    <row r="173" spans="1:3">
      <c r="A173" s="265" t="s">
        <v>429</v>
      </c>
      <c r="B173" s="266" t="s">
        <v>430</v>
      </c>
      <c r="C173" s="267">
        <v>110.22000000000001</v>
      </c>
    </row>
    <row r="174" spans="1:3">
      <c r="A174" s="265" t="s">
        <v>431</v>
      </c>
      <c r="B174" s="266" t="s">
        <v>432</v>
      </c>
      <c r="C174" s="267">
        <v>28.545000000000002</v>
      </c>
    </row>
    <row r="175" spans="1:3">
      <c r="A175" s="265" t="s">
        <v>433</v>
      </c>
      <c r="B175" s="266" t="s">
        <v>434</v>
      </c>
      <c r="C175" s="267">
        <v>28.545000000000002</v>
      </c>
    </row>
    <row r="176" spans="1:3">
      <c r="A176" s="265" t="s">
        <v>435</v>
      </c>
      <c r="B176" s="266" t="s">
        <v>436</v>
      </c>
      <c r="C176" s="267">
        <v>33.33</v>
      </c>
    </row>
    <row r="177" spans="1:3">
      <c r="A177" s="265" t="s">
        <v>437</v>
      </c>
      <c r="B177" s="266" t="s">
        <v>438</v>
      </c>
      <c r="C177" s="267">
        <v>32.340000000000003</v>
      </c>
    </row>
    <row r="178" spans="1:3">
      <c r="A178" s="268" t="s">
        <v>439</v>
      </c>
      <c r="B178" s="266" t="s">
        <v>440</v>
      </c>
      <c r="C178" s="267">
        <v>49.83</v>
      </c>
    </row>
    <row r="179" spans="1:3">
      <c r="A179" s="268" t="s">
        <v>441</v>
      </c>
      <c r="B179" s="266" t="s">
        <v>217</v>
      </c>
      <c r="C179" s="267">
        <v>44.22</v>
      </c>
    </row>
    <row r="180" spans="1:3">
      <c r="A180" s="265" t="s">
        <v>442</v>
      </c>
      <c r="B180" s="266" t="s">
        <v>443</v>
      </c>
      <c r="C180" s="267">
        <v>60.72</v>
      </c>
    </row>
    <row r="181" spans="1:3">
      <c r="A181" s="268" t="s">
        <v>444</v>
      </c>
      <c r="B181" s="266" t="s">
        <v>445</v>
      </c>
      <c r="C181" s="267">
        <v>114.34500000000001</v>
      </c>
    </row>
    <row r="182" spans="1:3">
      <c r="A182" s="265" t="s">
        <v>446</v>
      </c>
      <c r="B182" s="266" t="s">
        <v>447</v>
      </c>
      <c r="C182" s="267">
        <v>176.05500000000001</v>
      </c>
    </row>
    <row r="183" spans="1:3">
      <c r="A183" s="265" t="s">
        <v>448</v>
      </c>
      <c r="B183" s="266" t="s">
        <v>449</v>
      </c>
      <c r="C183" s="267">
        <v>95.204999999999998</v>
      </c>
    </row>
    <row r="184" spans="1:3">
      <c r="A184" s="265" t="s">
        <v>450</v>
      </c>
      <c r="B184" s="266" t="s">
        <v>451</v>
      </c>
      <c r="C184" s="267">
        <v>142.22999999999999</v>
      </c>
    </row>
    <row r="185" spans="1:3">
      <c r="A185" s="265" t="s">
        <v>452</v>
      </c>
      <c r="B185" s="266" t="s">
        <v>453</v>
      </c>
      <c r="C185" s="267">
        <v>148.66500000000002</v>
      </c>
    </row>
    <row r="186" spans="1:3">
      <c r="A186" s="265" t="s">
        <v>454</v>
      </c>
      <c r="B186" s="266" t="s">
        <v>455</v>
      </c>
      <c r="C186" s="267">
        <v>109.065</v>
      </c>
    </row>
    <row r="187" spans="1:3">
      <c r="A187" s="265" t="s">
        <v>456</v>
      </c>
      <c r="B187" s="266" t="s">
        <v>457</v>
      </c>
      <c r="C187" s="267">
        <v>111.87000000000002</v>
      </c>
    </row>
    <row r="188" spans="1:3">
      <c r="A188" s="265" t="s">
        <v>458</v>
      </c>
      <c r="B188" s="266" t="s">
        <v>459</v>
      </c>
      <c r="C188" s="267">
        <v>156.255</v>
      </c>
    </row>
    <row r="189" spans="1:3">
      <c r="A189" s="265" t="s">
        <v>460</v>
      </c>
      <c r="B189" s="266" t="s">
        <v>461</v>
      </c>
      <c r="C189" s="267">
        <v>200.14500000000001</v>
      </c>
    </row>
    <row r="190" spans="1:3">
      <c r="A190" s="268" t="s">
        <v>462</v>
      </c>
      <c r="B190" s="266" t="s">
        <v>463</v>
      </c>
      <c r="C190" s="267">
        <v>1023.495</v>
      </c>
    </row>
    <row r="191" spans="1:3">
      <c r="A191" s="268" t="s">
        <v>464</v>
      </c>
      <c r="B191" s="266" t="s">
        <v>465</v>
      </c>
      <c r="C191" s="267">
        <v>1253.1750000000002</v>
      </c>
    </row>
    <row r="192" spans="1:3">
      <c r="A192" s="268" t="s">
        <v>466</v>
      </c>
      <c r="B192" s="266" t="s">
        <v>209</v>
      </c>
      <c r="C192" s="267">
        <v>10.56</v>
      </c>
    </row>
    <row r="193" spans="1:3">
      <c r="A193" s="268" t="s">
        <v>467</v>
      </c>
      <c r="B193" s="266" t="s">
        <v>211</v>
      </c>
      <c r="C193" s="267">
        <v>13.200000000000001</v>
      </c>
    </row>
    <row r="194" spans="1:3">
      <c r="A194" s="268" t="s">
        <v>468</v>
      </c>
      <c r="B194" s="266" t="s">
        <v>219</v>
      </c>
      <c r="C194" s="267">
        <v>22.275000000000002</v>
      </c>
    </row>
    <row r="195" spans="1:3">
      <c r="A195" s="268" t="s">
        <v>469</v>
      </c>
      <c r="B195" s="266" t="s">
        <v>221</v>
      </c>
      <c r="C195" s="267">
        <v>34.979999999999997</v>
      </c>
    </row>
    <row r="196" spans="1:3">
      <c r="A196" s="268" t="s">
        <v>470</v>
      </c>
      <c r="B196" s="266" t="s">
        <v>471</v>
      </c>
      <c r="C196" s="267">
        <v>764.61000000000013</v>
      </c>
    </row>
    <row r="197" spans="1:3">
      <c r="A197" s="268" t="s">
        <v>472</v>
      </c>
      <c r="B197" s="266" t="s">
        <v>473</v>
      </c>
      <c r="C197" s="267">
        <v>46.695</v>
      </c>
    </row>
    <row r="198" spans="1:3">
      <c r="A198" s="268" t="s">
        <v>474</v>
      </c>
      <c r="B198" s="266" t="s">
        <v>475</v>
      </c>
      <c r="C198" s="267">
        <v>54.12</v>
      </c>
    </row>
    <row r="199" spans="1:3">
      <c r="A199" s="268" t="s">
        <v>476</v>
      </c>
      <c r="B199" s="266" t="s">
        <v>477</v>
      </c>
      <c r="C199" s="267">
        <v>111.04500000000002</v>
      </c>
    </row>
    <row r="200" spans="1:3">
      <c r="A200" s="268" t="s">
        <v>478</v>
      </c>
      <c r="B200" s="266" t="s">
        <v>479</v>
      </c>
      <c r="C200" s="267">
        <v>128.535</v>
      </c>
    </row>
    <row r="201" spans="1:3">
      <c r="A201" s="268" t="s">
        <v>480</v>
      </c>
      <c r="B201" s="266" t="s">
        <v>481</v>
      </c>
      <c r="C201" s="267">
        <v>160.54499999999999</v>
      </c>
    </row>
    <row r="202" spans="1:3">
      <c r="A202" s="268" t="s">
        <v>482</v>
      </c>
      <c r="B202" s="266" t="s">
        <v>483</v>
      </c>
      <c r="C202" s="267">
        <v>212.85000000000002</v>
      </c>
    </row>
    <row r="203" spans="1:3">
      <c r="A203" s="268" t="s">
        <v>484</v>
      </c>
      <c r="B203" s="266" t="s">
        <v>485</v>
      </c>
      <c r="C203" s="267">
        <v>386.26499999999999</v>
      </c>
    </row>
    <row r="204" spans="1:3">
      <c r="A204" s="265" t="s">
        <v>486</v>
      </c>
      <c r="B204" s="266" t="s">
        <v>487</v>
      </c>
      <c r="C204" s="267">
        <v>73.260000000000005</v>
      </c>
    </row>
    <row r="205" spans="1:3">
      <c r="A205" s="265" t="s">
        <v>488</v>
      </c>
      <c r="B205" s="266" t="s">
        <v>489</v>
      </c>
      <c r="C205" s="267">
        <v>588.55499999999995</v>
      </c>
    </row>
    <row r="206" spans="1:3">
      <c r="A206" s="268" t="s">
        <v>490</v>
      </c>
      <c r="B206" s="266" t="s">
        <v>491</v>
      </c>
      <c r="C206" s="267">
        <v>580.30499999999995</v>
      </c>
    </row>
    <row r="207" spans="1:3">
      <c r="A207" s="265" t="s">
        <v>492</v>
      </c>
      <c r="B207" s="266" t="s">
        <v>493</v>
      </c>
      <c r="C207" s="267">
        <v>582.78</v>
      </c>
    </row>
    <row r="208" spans="1:3">
      <c r="A208" s="265" t="s">
        <v>494</v>
      </c>
      <c r="B208" s="266" t="s">
        <v>495</v>
      </c>
      <c r="C208" s="267">
        <v>558.03</v>
      </c>
    </row>
    <row r="209" spans="1:3">
      <c r="A209" s="265" t="s">
        <v>496</v>
      </c>
      <c r="B209" s="266" t="s">
        <v>497</v>
      </c>
      <c r="C209" s="267">
        <v>506.88</v>
      </c>
    </row>
    <row r="210" spans="1:3">
      <c r="A210" s="265" t="s">
        <v>498</v>
      </c>
      <c r="B210" s="266" t="s">
        <v>499</v>
      </c>
      <c r="C210" s="267">
        <v>514.30500000000006</v>
      </c>
    </row>
    <row r="211" spans="1:3">
      <c r="A211" s="265" t="s">
        <v>500</v>
      </c>
      <c r="B211" s="266" t="s">
        <v>501</v>
      </c>
      <c r="C211" s="267">
        <v>514.30500000000006</v>
      </c>
    </row>
    <row r="212" spans="1:3">
      <c r="A212" s="265" t="s">
        <v>502</v>
      </c>
      <c r="B212" s="266" t="s">
        <v>503</v>
      </c>
      <c r="C212" s="267">
        <v>531.30000000000007</v>
      </c>
    </row>
    <row r="213" spans="1:3">
      <c r="A213" s="265" t="s">
        <v>504</v>
      </c>
      <c r="B213" s="266" t="s">
        <v>505</v>
      </c>
      <c r="C213" s="267">
        <v>575.68500000000006</v>
      </c>
    </row>
    <row r="214" spans="1:3">
      <c r="A214" s="265" t="s">
        <v>506</v>
      </c>
      <c r="B214" s="266" t="s">
        <v>507</v>
      </c>
      <c r="C214" s="267">
        <v>575.68500000000006</v>
      </c>
    </row>
    <row r="215" spans="1:3">
      <c r="A215" s="265" t="s">
        <v>508</v>
      </c>
      <c r="B215" s="266" t="s">
        <v>509</v>
      </c>
      <c r="C215" s="267">
        <v>612.70000000000005</v>
      </c>
    </row>
    <row r="216" spans="1:3">
      <c r="A216" s="265" t="s">
        <v>510</v>
      </c>
      <c r="B216" s="266" t="s">
        <v>511</v>
      </c>
      <c r="C216" s="267">
        <v>575.68500000000006</v>
      </c>
    </row>
    <row r="217" spans="1:3">
      <c r="A217" s="265" t="s">
        <v>512</v>
      </c>
      <c r="B217" s="266" t="s">
        <v>513</v>
      </c>
      <c r="C217" s="267">
        <v>575.68500000000006</v>
      </c>
    </row>
    <row r="218" spans="1:3">
      <c r="A218" s="265" t="s">
        <v>514</v>
      </c>
      <c r="B218" s="266" t="s">
        <v>515</v>
      </c>
      <c r="C218" s="267">
        <v>612.70000000000005</v>
      </c>
    </row>
    <row r="219" spans="1:3">
      <c r="A219" s="265" t="s">
        <v>516</v>
      </c>
      <c r="B219" s="266" t="s">
        <v>517</v>
      </c>
      <c r="C219" s="267">
        <v>224.23500000000001</v>
      </c>
    </row>
    <row r="220" spans="1:3">
      <c r="A220" s="269" t="s">
        <v>518</v>
      </c>
      <c r="B220" s="270" t="s">
        <v>519</v>
      </c>
      <c r="C220" s="271">
        <v>433.62</v>
      </c>
    </row>
    <row r="221" spans="1:3">
      <c r="A221" s="265" t="s">
        <v>520</v>
      </c>
      <c r="B221" s="266" t="s">
        <v>521</v>
      </c>
      <c r="C221" s="267">
        <v>491.37</v>
      </c>
    </row>
    <row r="222" spans="1:3">
      <c r="A222" s="265" t="s">
        <v>522</v>
      </c>
      <c r="B222" s="266" t="s">
        <v>523</v>
      </c>
      <c r="C222" s="267">
        <v>69.795000000000002</v>
      </c>
    </row>
    <row r="223" spans="1:3">
      <c r="A223" s="265" t="s">
        <v>524</v>
      </c>
      <c r="B223" s="266" t="s">
        <v>525</v>
      </c>
      <c r="C223" s="267">
        <v>107.58000000000001</v>
      </c>
    </row>
    <row r="224" spans="1:3">
      <c r="A224" s="265" t="s">
        <v>526</v>
      </c>
      <c r="B224" s="266" t="s">
        <v>527</v>
      </c>
      <c r="C224" s="267">
        <v>130.68</v>
      </c>
    </row>
    <row r="225" spans="1:3">
      <c r="A225" s="265" t="s">
        <v>528</v>
      </c>
      <c r="B225" s="266" t="s">
        <v>529</v>
      </c>
      <c r="C225" s="267">
        <v>178.53</v>
      </c>
    </row>
    <row r="226" spans="1:3">
      <c r="A226" s="265" t="s">
        <v>530</v>
      </c>
      <c r="B226" s="266" t="s">
        <v>531</v>
      </c>
      <c r="C226" s="267">
        <v>246.18</v>
      </c>
    </row>
    <row r="227" spans="1:3">
      <c r="A227" s="265" t="s">
        <v>532</v>
      </c>
      <c r="B227" s="266" t="s">
        <v>533</v>
      </c>
      <c r="C227" s="267">
        <v>232.32</v>
      </c>
    </row>
    <row r="228" spans="1:3">
      <c r="A228" s="265" t="s">
        <v>534</v>
      </c>
      <c r="B228" s="266" t="s">
        <v>535</v>
      </c>
      <c r="C228" s="267">
        <v>128.20500000000001</v>
      </c>
    </row>
    <row r="229" spans="1:3">
      <c r="A229" s="265" t="s">
        <v>536</v>
      </c>
      <c r="B229" s="266" t="s">
        <v>537</v>
      </c>
      <c r="C229" s="267">
        <v>426.52500000000003</v>
      </c>
    </row>
    <row r="230" spans="1:3">
      <c r="A230" s="268" t="s">
        <v>538</v>
      </c>
      <c r="B230" s="266" t="s">
        <v>539</v>
      </c>
      <c r="C230" s="267">
        <v>53.625000000000007</v>
      </c>
    </row>
    <row r="231" spans="1:3">
      <c r="A231" s="268" t="s">
        <v>540</v>
      </c>
      <c r="B231" s="266" t="s">
        <v>541</v>
      </c>
      <c r="C231" s="267">
        <v>252.94500000000002</v>
      </c>
    </row>
    <row r="232" spans="1:3">
      <c r="A232" s="265" t="s">
        <v>542</v>
      </c>
      <c r="B232" s="266" t="s">
        <v>543</v>
      </c>
      <c r="C232" s="267">
        <v>268.45499999999998</v>
      </c>
    </row>
    <row r="233" spans="1:3">
      <c r="A233" s="265" t="s">
        <v>544</v>
      </c>
      <c r="B233" s="266" t="s">
        <v>545</v>
      </c>
      <c r="C233" s="267">
        <v>252.94500000000002</v>
      </c>
    </row>
    <row r="234" spans="1:3">
      <c r="A234" s="265" t="s">
        <v>546</v>
      </c>
      <c r="B234" s="266" t="s">
        <v>547</v>
      </c>
      <c r="C234" s="267">
        <v>268.45499999999998</v>
      </c>
    </row>
    <row r="235" spans="1:3">
      <c r="A235" s="265" t="s">
        <v>548</v>
      </c>
      <c r="B235" s="266" t="s">
        <v>549</v>
      </c>
      <c r="C235" s="267">
        <v>154.44000000000003</v>
      </c>
    </row>
    <row r="236" spans="1:3">
      <c r="A236" s="265" t="s">
        <v>550</v>
      </c>
      <c r="B236" s="266" t="s">
        <v>551</v>
      </c>
      <c r="C236" s="267">
        <v>64.350000000000009</v>
      </c>
    </row>
    <row r="237" spans="1:3">
      <c r="A237" s="265" t="s">
        <v>552</v>
      </c>
      <c r="B237" s="266" t="s">
        <v>553</v>
      </c>
      <c r="C237" s="267">
        <v>616.44000000000005</v>
      </c>
    </row>
    <row r="238" spans="1:3" ht="28.8">
      <c r="A238" s="265" t="s">
        <v>554</v>
      </c>
      <c r="B238" s="266" t="s">
        <v>555</v>
      </c>
      <c r="C238" s="267">
        <v>634.09500000000003</v>
      </c>
    </row>
    <row r="239" spans="1:3">
      <c r="A239" s="265" t="s">
        <v>556</v>
      </c>
      <c r="B239" s="266" t="s">
        <v>557</v>
      </c>
      <c r="C239" s="267">
        <v>634.09500000000003</v>
      </c>
    </row>
    <row r="240" spans="1:3">
      <c r="A240" s="265" t="s">
        <v>558</v>
      </c>
      <c r="B240" s="266" t="s">
        <v>318</v>
      </c>
      <c r="C240" s="267">
        <v>461.01</v>
      </c>
    </row>
    <row r="241" spans="1:3">
      <c r="A241" s="265" t="s">
        <v>559</v>
      </c>
      <c r="B241" s="266" t="s">
        <v>320</v>
      </c>
      <c r="C241" s="267">
        <v>367.45500000000004</v>
      </c>
    </row>
    <row r="242" spans="1:3">
      <c r="A242" s="265" t="s">
        <v>560</v>
      </c>
      <c r="B242" s="266" t="s">
        <v>561</v>
      </c>
      <c r="C242" s="267">
        <v>307.56</v>
      </c>
    </row>
    <row r="243" spans="1:3">
      <c r="A243" s="265" t="s">
        <v>562</v>
      </c>
      <c r="B243" s="266" t="s">
        <v>563</v>
      </c>
      <c r="C243" s="267">
        <v>287.43000000000006</v>
      </c>
    </row>
    <row r="244" spans="1:3">
      <c r="A244" s="265" t="s">
        <v>564</v>
      </c>
      <c r="B244" s="266" t="s">
        <v>152</v>
      </c>
      <c r="C244" s="267">
        <v>373.89</v>
      </c>
    </row>
    <row r="245" spans="1:3">
      <c r="A245" s="268" t="s">
        <v>565</v>
      </c>
      <c r="B245" s="266" t="s">
        <v>566</v>
      </c>
      <c r="C245" s="267">
        <v>270.27</v>
      </c>
    </row>
    <row r="246" spans="1:3">
      <c r="A246" s="268" t="s">
        <v>567</v>
      </c>
      <c r="B246" s="266" t="s">
        <v>568</v>
      </c>
      <c r="C246" s="267">
        <v>321.75</v>
      </c>
    </row>
    <row r="247" spans="1:3">
      <c r="A247" s="268" t="s">
        <v>569</v>
      </c>
      <c r="B247" s="266" t="s">
        <v>570</v>
      </c>
      <c r="C247" s="267">
        <v>504.90000000000003</v>
      </c>
    </row>
    <row r="248" spans="1:3">
      <c r="A248" s="268" t="s">
        <v>571</v>
      </c>
      <c r="B248" s="266" t="s">
        <v>572</v>
      </c>
      <c r="C248" s="267">
        <v>610.83000000000004</v>
      </c>
    </row>
    <row r="249" spans="1:3">
      <c r="A249" s="268" t="s">
        <v>573</v>
      </c>
      <c r="B249" s="266" t="s">
        <v>328</v>
      </c>
      <c r="C249" s="267">
        <v>482.13000000000005</v>
      </c>
    </row>
    <row r="250" spans="1:3">
      <c r="A250" s="268" t="s">
        <v>574</v>
      </c>
      <c r="B250" s="266" t="s">
        <v>330</v>
      </c>
      <c r="C250" s="267">
        <v>412.00500000000005</v>
      </c>
    </row>
    <row r="251" spans="1:3">
      <c r="A251" s="268" t="s">
        <v>575</v>
      </c>
      <c r="B251" s="266" t="s">
        <v>576</v>
      </c>
      <c r="C251" s="267">
        <v>124.57500000000002</v>
      </c>
    </row>
    <row r="252" spans="1:3">
      <c r="A252" s="268" t="s">
        <v>577</v>
      </c>
      <c r="B252" s="266" t="s">
        <v>578</v>
      </c>
      <c r="C252" s="267">
        <v>335.77500000000003</v>
      </c>
    </row>
    <row r="253" spans="1:3">
      <c r="A253" s="268" t="s">
        <v>579</v>
      </c>
      <c r="B253" s="266" t="s">
        <v>580</v>
      </c>
      <c r="C253" s="267">
        <v>268.45499999999998</v>
      </c>
    </row>
    <row r="254" spans="1:3">
      <c r="A254" s="268" t="s">
        <v>581</v>
      </c>
      <c r="B254" s="266" t="s">
        <v>582</v>
      </c>
      <c r="C254" s="267">
        <v>541.36500000000001</v>
      </c>
    </row>
    <row r="255" spans="1:3">
      <c r="A255" s="265" t="s">
        <v>583</v>
      </c>
      <c r="B255" s="266" t="s">
        <v>584</v>
      </c>
      <c r="C255" s="267">
        <v>395.67</v>
      </c>
    </row>
    <row r="256" spans="1:3">
      <c r="A256" s="265" t="s">
        <v>585</v>
      </c>
      <c r="B256" s="266" t="s">
        <v>586</v>
      </c>
      <c r="C256" s="267">
        <v>595.81500000000005</v>
      </c>
    </row>
    <row r="257" spans="1:3">
      <c r="A257" s="265" t="s">
        <v>587</v>
      </c>
      <c r="B257" s="266" t="s">
        <v>588</v>
      </c>
      <c r="C257" s="267">
        <v>902.88</v>
      </c>
    </row>
    <row r="258" spans="1:3">
      <c r="A258" s="265" t="s">
        <v>589</v>
      </c>
      <c r="B258" s="266" t="s">
        <v>590</v>
      </c>
      <c r="C258" s="267">
        <v>985.71000000000015</v>
      </c>
    </row>
    <row r="259" spans="1:3">
      <c r="A259" s="268" t="s">
        <v>591</v>
      </c>
      <c r="B259" s="266" t="s">
        <v>592</v>
      </c>
      <c r="C259" s="267">
        <v>909.31500000000005</v>
      </c>
    </row>
    <row r="260" spans="1:3">
      <c r="A260" s="268" t="s">
        <v>593</v>
      </c>
      <c r="B260" s="266" t="s">
        <v>594</v>
      </c>
      <c r="C260" s="267">
        <v>449.62500000000006</v>
      </c>
    </row>
    <row r="261" spans="1:3">
      <c r="A261" s="268" t="s">
        <v>595</v>
      </c>
      <c r="B261" s="266" t="s">
        <v>596</v>
      </c>
      <c r="C261" s="267">
        <v>538.72500000000002</v>
      </c>
    </row>
    <row r="262" spans="1:3">
      <c r="A262" s="265" t="s">
        <v>597</v>
      </c>
      <c r="B262" s="266" t="s">
        <v>598</v>
      </c>
      <c r="C262" s="267">
        <v>866.08500000000015</v>
      </c>
    </row>
    <row r="263" spans="1:3">
      <c r="A263" s="265" t="s">
        <v>599</v>
      </c>
      <c r="B263" s="266" t="s">
        <v>600</v>
      </c>
      <c r="C263" s="267">
        <v>1125.3000000000002</v>
      </c>
    </row>
    <row r="264" spans="1:3">
      <c r="A264" s="265" t="s">
        <v>601</v>
      </c>
      <c r="B264" s="266" t="s">
        <v>602</v>
      </c>
      <c r="C264" s="267">
        <v>487.245</v>
      </c>
    </row>
    <row r="265" spans="1:3">
      <c r="A265" s="268" t="s">
        <v>603</v>
      </c>
      <c r="B265" s="266" t="s">
        <v>604</v>
      </c>
      <c r="C265" s="267">
        <v>695.14499999999998</v>
      </c>
    </row>
    <row r="266" spans="1:3">
      <c r="A266" s="268" t="s">
        <v>605</v>
      </c>
      <c r="B266" s="266" t="s">
        <v>606</v>
      </c>
      <c r="C266" s="267">
        <v>777.97500000000002</v>
      </c>
    </row>
    <row r="267" spans="1:3">
      <c r="A267" s="265" t="s">
        <v>607</v>
      </c>
      <c r="B267" s="266" t="s">
        <v>608</v>
      </c>
      <c r="C267" s="267">
        <v>611.32500000000005</v>
      </c>
    </row>
    <row r="268" spans="1:3">
      <c r="A268" s="268" t="s">
        <v>609</v>
      </c>
      <c r="B268" s="266" t="s">
        <v>610</v>
      </c>
      <c r="C268" s="267">
        <v>134.64000000000001</v>
      </c>
    </row>
    <row r="269" spans="1:3">
      <c r="A269" s="268" t="s">
        <v>611</v>
      </c>
      <c r="B269" s="266" t="s">
        <v>610</v>
      </c>
      <c r="C269" s="267">
        <v>117.81</v>
      </c>
    </row>
    <row r="270" spans="1:3">
      <c r="A270" s="265" t="s">
        <v>612</v>
      </c>
      <c r="B270" s="266" t="s">
        <v>613</v>
      </c>
      <c r="C270" s="267">
        <v>120.45</v>
      </c>
    </row>
    <row r="271" spans="1:3">
      <c r="A271" s="265" t="s">
        <v>614</v>
      </c>
      <c r="B271" s="266" t="s">
        <v>615</v>
      </c>
      <c r="C271" s="267">
        <v>159.55500000000001</v>
      </c>
    </row>
    <row r="272" spans="1:3">
      <c r="A272" s="265" t="s">
        <v>616</v>
      </c>
      <c r="B272" s="266" t="s">
        <v>617</v>
      </c>
      <c r="C272" s="267">
        <v>110.22000000000001</v>
      </c>
    </row>
    <row r="273" spans="1:3">
      <c r="A273" s="265" t="s">
        <v>618</v>
      </c>
      <c r="B273" s="266" t="s">
        <v>619</v>
      </c>
      <c r="C273" s="267">
        <v>120.78</v>
      </c>
    </row>
    <row r="274" spans="1:3">
      <c r="A274" s="265" t="s">
        <v>620</v>
      </c>
      <c r="B274" s="266" t="s">
        <v>621</v>
      </c>
      <c r="C274" s="267">
        <v>183.31500000000003</v>
      </c>
    </row>
    <row r="275" spans="1:3">
      <c r="A275" s="265" t="s">
        <v>622</v>
      </c>
      <c r="B275" s="266" t="s">
        <v>623</v>
      </c>
      <c r="C275" s="267">
        <v>116.325</v>
      </c>
    </row>
    <row r="276" spans="1:3">
      <c r="A276" s="265" t="s">
        <v>624</v>
      </c>
      <c r="B276" s="266" t="s">
        <v>625</v>
      </c>
      <c r="C276" s="267">
        <v>180.67500000000001</v>
      </c>
    </row>
    <row r="277" spans="1:3">
      <c r="A277" s="265" t="s">
        <v>626</v>
      </c>
      <c r="B277" s="266" t="s">
        <v>627</v>
      </c>
      <c r="C277" s="267">
        <v>200.14500000000001</v>
      </c>
    </row>
    <row r="278" spans="1:3">
      <c r="A278" s="265" t="s">
        <v>628</v>
      </c>
      <c r="B278" s="266" t="s">
        <v>112</v>
      </c>
      <c r="C278" s="267">
        <v>145.20000000000002</v>
      </c>
    </row>
    <row r="279" spans="1:3">
      <c r="A279" s="265" t="s">
        <v>629</v>
      </c>
      <c r="B279" s="266" t="s">
        <v>630</v>
      </c>
      <c r="C279" s="267">
        <v>156.58500000000001</v>
      </c>
    </row>
    <row r="280" spans="1:3">
      <c r="A280" s="265" t="s">
        <v>631</v>
      </c>
      <c r="B280" s="266" t="s">
        <v>434</v>
      </c>
      <c r="C280" s="267">
        <v>10.725000000000001</v>
      </c>
    </row>
    <row r="281" spans="1:3">
      <c r="A281" s="265" t="s">
        <v>632</v>
      </c>
      <c r="B281" s="266" t="s">
        <v>436</v>
      </c>
      <c r="C281" s="267">
        <v>13.200000000000001</v>
      </c>
    </row>
    <row r="282" spans="1:3">
      <c r="A282" s="265" t="s">
        <v>633</v>
      </c>
      <c r="B282" s="266" t="s">
        <v>443</v>
      </c>
      <c r="C282" s="267">
        <v>22.275000000000002</v>
      </c>
    </row>
    <row r="283" spans="1:3">
      <c r="A283" s="265" t="s">
        <v>634</v>
      </c>
      <c r="B283" s="266" t="s">
        <v>449</v>
      </c>
      <c r="C283" s="267">
        <v>34.979999999999997</v>
      </c>
    </row>
    <row r="284" spans="1:3">
      <c r="A284" s="265" t="s">
        <v>635</v>
      </c>
      <c r="B284" s="266" t="s">
        <v>636</v>
      </c>
      <c r="C284" s="267">
        <v>56.43</v>
      </c>
    </row>
    <row r="285" spans="1:3">
      <c r="A285" s="265" t="s">
        <v>637</v>
      </c>
      <c r="B285" s="266" t="s">
        <v>638</v>
      </c>
      <c r="C285" s="267">
        <v>69.63</v>
      </c>
    </row>
    <row r="286" spans="1:3">
      <c r="A286" s="265" t="s">
        <v>639</v>
      </c>
      <c r="B286" s="266" t="s">
        <v>640</v>
      </c>
      <c r="C286" s="267">
        <v>54.12</v>
      </c>
    </row>
    <row r="287" spans="1:3">
      <c r="A287" s="265" t="s">
        <v>641</v>
      </c>
      <c r="B287" s="266" t="s">
        <v>642</v>
      </c>
      <c r="C287" s="267">
        <v>129.36000000000001</v>
      </c>
    </row>
    <row r="288" spans="1:3">
      <c r="A288" s="265" t="s">
        <v>643</v>
      </c>
      <c r="B288" s="266" t="s">
        <v>644</v>
      </c>
      <c r="C288" s="267">
        <v>154.27500000000001</v>
      </c>
    </row>
    <row r="289" spans="1:3">
      <c r="A289" s="265" t="s">
        <v>645</v>
      </c>
      <c r="B289" s="266" t="s">
        <v>646</v>
      </c>
      <c r="C289" s="267">
        <v>470.41500000000002</v>
      </c>
    </row>
    <row r="290" spans="1:3">
      <c r="A290" s="265" t="s">
        <v>647</v>
      </c>
      <c r="B290" s="266" t="s">
        <v>648</v>
      </c>
      <c r="C290" s="267">
        <v>319.27500000000003</v>
      </c>
    </row>
    <row r="291" spans="1:3">
      <c r="A291" s="265" t="s">
        <v>649</v>
      </c>
      <c r="B291" s="266" t="s">
        <v>650</v>
      </c>
      <c r="C291" s="267">
        <v>339.40500000000003</v>
      </c>
    </row>
    <row r="292" spans="1:3">
      <c r="A292" s="265" t="s">
        <v>651</v>
      </c>
      <c r="B292" s="266" t="s">
        <v>652</v>
      </c>
      <c r="C292" s="267">
        <v>414.315</v>
      </c>
    </row>
    <row r="293" spans="1:3">
      <c r="A293" s="265" t="s">
        <v>653</v>
      </c>
      <c r="B293" s="266" t="s">
        <v>654</v>
      </c>
      <c r="C293" s="267">
        <v>581.46</v>
      </c>
    </row>
    <row r="294" spans="1:3">
      <c r="A294" s="265" t="s">
        <v>655</v>
      </c>
      <c r="B294" s="266" t="s">
        <v>656</v>
      </c>
      <c r="C294" s="267">
        <v>99.66</v>
      </c>
    </row>
    <row r="295" spans="1:3">
      <c r="A295" s="265" t="s">
        <v>657</v>
      </c>
      <c r="B295" s="266" t="s">
        <v>658</v>
      </c>
      <c r="C295" s="267">
        <v>38.610000000000007</v>
      </c>
    </row>
    <row r="296" spans="1:3">
      <c r="A296" s="265" t="s">
        <v>659</v>
      </c>
      <c r="B296" s="266" t="s">
        <v>660</v>
      </c>
      <c r="C296" s="267">
        <v>40.92</v>
      </c>
    </row>
    <row r="297" spans="1:3">
      <c r="A297" s="265" t="s">
        <v>661</v>
      </c>
      <c r="B297" s="266" t="s">
        <v>662</v>
      </c>
      <c r="C297" s="267">
        <v>46.365000000000002</v>
      </c>
    </row>
    <row r="298" spans="1:3">
      <c r="A298" s="265" t="s">
        <v>663</v>
      </c>
      <c r="B298" s="266" t="s">
        <v>664</v>
      </c>
      <c r="C298" s="267">
        <v>50.82</v>
      </c>
    </row>
    <row r="299" spans="1:3">
      <c r="A299" s="265" t="s">
        <v>665</v>
      </c>
      <c r="B299" s="266" t="s">
        <v>666</v>
      </c>
      <c r="C299" s="267">
        <v>51.150000000000006</v>
      </c>
    </row>
    <row r="300" spans="1:3">
      <c r="A300" s="265" t="s">
        <v>667</v>
      </c>
      <c r="B300" s="266" t="s">
        <v>1677</v>
      </c>
      <c r="C300" s="267">
        <v>105.93</v>
      </c>
    </row>
    <row r="301" spans="1:3">
      <c r="A301" s="265" t="s">
        <v>668</v>
      </c>
      <c r="B301" s="266" t="s">
        <v>1678</v>
      </c>
      <c r="C301" s="267">
        <v>134.97</v>
      </c>
    </row>
    <row r="302" spans="1:3">
      <c r="A302" s="265" t="s">
        <v>669</v>
      </c>
      <c r="B302" s="266" t="s">
        <v>1679</v>
      </c>
      <c r="C302" s="267">
        <v>194.535</v>
      </c>
    </row>
    <row r="303" spans="1:3">
      <c r="A303" s="265" t="s">
        <v>670</v>
      </c>
      <c r="B303" s="266" t="s">
        <v>671</v>
      </c>
      <c r="C303" s="267">
        <v>662.80499999999995</v>
      </c>
    </row>
    <row r="304" spans="1:3">
      <c r="A304" s="268" t="s">
        <v>672</v>
      </c>
      <c r="B304" s="266" t="s">
        <v>1680</v>
      </c>
      <c r="C304" s="267">
        <v>503.08499999999998</v>
      </c>
    </row>
    <row r="305" spans="1:3">
      <c r="A305" s="268" t="s">
        <v>673</v>
      </c>
      <c r="B305" s="266" t="s">
        <v>1681</v>
      </c>
      <c r="C305" s="267">
        <v>719.40000000000009</v>
      </c>
    </row>
    <row r="306" spans="1:3">
      <c r="A306" s="268" t="s">
        <v>674</v>
      </c>
      <c r="B306" s="266" t="s">
        <v>1682</v>
      </c>
      <c r="C306" s="267">
        <v>848.43000000000006</v>
      </c>
    </row>
    <row r="307" spans="1:3">
      <c r="A307" s="268" t="s">
        <v>675</v>
      </c>
      <c r="B307" s="266" t="s">
        <v>1683</v>
      </c>
      <c r="C307" s="267">
        <v>778.30500000000006</v>
      </c>
    </row>
    <row r="308" spans="1:3">
      <c r="A308" s="265" t="s">
        <v>676</v>
      </c>
      <c r="B308" s="266" t="s">
        <v>1684</v>
      </c>
      <c r="C308" s="267">
        <v>55.935000000000009</v>
      </c>
    </row>
    <row r="309" spans="1:3">
      <c r="A309" s="265" t="s">
        <v>677</v>
      </c>
      <c r="B309" s="266" t="s">
        <v>1680</v>
      </c>
      <c r="C309" s="267">
        <v>61.545000000000002</v>
      </c>
    </row>
    <row r="310" spans="1:3">
      <c r="A310" s="265" t="s">
        <v>678</v>
      </c>
      <c r="B310" s="266" t="s">
        <v>1685</v>
      </c>
      <c r="C310" s="267">
        <v>69.135000000000005</v>
      </c>
    </row>
    <row r="311" spans="1:3">
      <c r="A311" s="265" t="s">
        <v>679</v>
      </c>
      <c r="B311" s="266" t="s">
        <v>1686</v>
      </c>
      <c r="C311" s="267">
        <v>85.800000000000011</v>
      </c>
    </row>
    <row r="312" spans="1:3">
      <c r="A312" s="265" t="s">
        <v>680</v>
      </c>
      <c r="B312" s="266" t="s">
        <v>1681</v>
      </c>
      <c r="C312" s="267">
        <v>87.45</v>
      </c>
    </row>
    <row r="313" spans="1:3">
      <c r="A313" s="265" t="s">
        <v>681</v>
      </c>
      <c r="B313" s="266" t="s">
        <v>1687</v>
      </c>
      <c r="C313" s="267">
        <v>126.88500000000001</v>
      </c>
    </row>
    <row r="314" spans="1:3">
      <c r="A314" s="265" t="s">
        <v>682</v>
      </c>
      <c r="B314" s="266" t="s">
        <v>1688</v>
      </c>
      <c r="C314" s="267">
        <v>156.91500000000002</v>
      </c>
    </row>
    <row r="315" spans="1:3">
      <c r="A315" s="265" t="s">
        <v>683</v>
      </c>
      <c r="B315" s="266" t="s">
        <v>1689</v>
      </c>
      <c r="C315" s="267">
        <v>266.97000000000003</v>
      </c>
    </row>
    <row r="316" spans="1:3">
      <c r="A316" s="265" t="s">
        <v>684</v>
      </c>
      <c r="B316" s="266" t="s">
        <v>1680</v>
      </c>
      <c r="C316" s="267">
        <v>115.00500000000001</v>
      </c>
    </row>
    <row r="317" spans="1:3">
      <c r="A317" s="265" t="s">
        <v>685</v>
      </c>
      <c r="B317" s="266" t="s">
        <v>1681</v>
      </c>
      <c r="C317" s="267">
        <v>158.07</v>
      </c>
    </row>
    <row r="318" spans="1:3">
      <c r="A318" s="265" t="s">
        <v>686</v>
      </c>
      <c r="B318" s="266" t="s">
        <v>1690</v>
      </c>
      <c r="C318" s="267">
        <v>132.33000000000001</v>
      </c>
    </row>
    <row r="319" spans="1:3">
      <c r="A319" s="265" t="s">
        <v>687</v>
      </c>
      <c r="B319" s="266" t="s">
        <v>1691</v>
      </c>
      <c r="C319" s="267">
        <v>148.005</v>
      </c>
    </row>
    <row r="320" spans="1:3">
      <c r="A320" s="265" t="s">
        <v>688</v>
      </c>
      <c r="B320" s="266" t="s">
        <v>1692</v>
      </c>
      <c r="C320" s="267">
        <v>157.905</v>
      </c>
    </row>
    <row r="321" spans="1:3">
      <c r="A321" s="265" t="s">
        <v>689</v>
      </c>
      <c r="B321" s="266" t="s">
        <v>1693</v>
      </c>
      <c r="C321" s="267">
        <v>186.61500000000001</v>
      </c>
    </row>
    <row r="322" spans="1:3">
      <c r="A322" s="265" t="s">
        <v>690</v>
      </c>
      <c r="B322" s="266" t="s">
        <v>1694</v>
      </c>
      <c r="C322" s="267">
        <v>470.58000000000004</v>
      </c>
    </row>
    <row r="323" spans="1:3">
      <c r="A323" s="265" t="s">
        <v>691</v>
      </c>
      <c r="B323" s="266" t="s">
        <v>1681</v>
      </c>
      <c r="C323" s="267">
        <v>639.87</v>
      </c>
    </row>
    <row r="324" spans="1:3">
      <c r="A324" s="265" t="s">
        <v>692</v>
      </c>
      <c r="B324" s="266" t="s">
        <v>1687</v>
      </c>
      <c r="C324" s="267">
        <v>808.66500000000008</v>
      </c>
    </row>
    <row r="325" spans="1:3">
      <c r="A325" s="265" t="s">
        <v>693</v>
      </c>
      <c r="B325" s="266" t="s">
        <v>1695</v>
      </c>
      <c r="C325" s="267">
        <v>445.33499999999998</v>
      </c>
    </row>
    <row r="326" spans="1:3">
      <c r="A326" s="265" t="s">
        <v>694</v>
      </c>
      <c r="B326" s="266" t="s">
        <v>1683</v>
      </c>
      <c r="C326" s="267">
        <v>590.04000000000008</v>
      </c>
    </row>
    <row r="327" spans="1:3">
      <c r="A327" s="265" t="s">
        <v>695</v>
      </c>
      <c r="B327" s="266" t="s">
        <v>1696</v>
      </c>
      <c r="C327" s="267">
        <v>444.18000000000006</v>
      </c>
    </row>
    <row r="328" spans="1:3">
      <c r="A328" s="265" t="s">
        <v>696</v>
      </c>
      <c r="B328" s="266" t="s">
        <v>1697</v>
      </c>
      <c r="C328" s="267">
        <v>832.59</v>
      </c>
    </row>
    <row r="329" spans="1:3">
      <c r="A329" s="265" t="s">
        <v>697</v>
      </c>
      <c r="B329" s="266" t="s">
        <v>1698</v>
      </c>
      <c r="C329" s="267">
        <v>651.58500000000004</v>
      </c>
    </row>
    <row r="330" spans="1:3">
      <c r="A330" s="265" t="s">
        <v>698</v>
      </c>
      <c r="B330" s="266" t="s">
        <v>1699</v>
      </c>
      <c r="C330" s="267">
        <v>1046.595</v>
      </c>
    </row>
    <row r="331" spans="1:3">
      <c r="A331" s="265" t="s">
        <v>699</v>
      </c>
      <c r="B331" s="266" t="s">
        <v>1683</v>
      </c>
      <c r="C331" s="267">
        <v>572.05499999999995</v>
      </c>
    </row>
    <row r="332" spans="1:3">
      <c r="A332" s="265" t="s">
        <v>700</v>
      </c>
      <c r="B332" s="266" t="s">
        <v>1681</v>
      </c>
      <c r="C332" s="267">
        <v>551.42999999999995</v>
      </c>
    </row>
    <row r="333" spans="1:3">
      <c r="A333" s="265" t="s">
        <v>701</v>
      </c>
      <c r="B333" s="266" t="s">
        <v>1687</v>
      </c>
      <c r="C333" s="267">
        <v>644.32500000000005</v>
      </c>
    </row>
    <row r="334" spans="1:3">
      <c r="A334" s="265" t="s">
        <v>702</v>
      </c>
      <c r="B334" s="266" t="s">
        <v>1700</v>
      </c>
      <c r="C334" s="267">
        <v>657.03</v>
      </c>
    </row>
    <row r="335" spans="1:3">
      <c r="A335" s="265" t="s">
        <v>703</v>
      </c>
      <c r="B335" s="266" t="s">
        <v>704</v>
      </c>
      <c r="C335" s="267">
        <v>194.86500000000001</v>
      </c>
    </row>
    <row r="336" spans="1:3">
      <c r="A336" s="265" t="s">
        <v>705</v>
      </c>
      <c r="B336" s="266" t="s">
        <v>706</v>
      </c>
      <c r="C336" s="267">
        <v>226.05</v>
      </c>
    </row>
    <row r="337" spans="1:3">
      <c r="A337" s="265" t="s">
        <v>707</v>
      </c>
      <c r="B337" s="266" t="s">
        <v>708</v>
      </c>
      <c r="C337" s="267">
        <v>1.8149999999999999</v>
      </c>
    </row>
    <row r="338" spans="1:3">
      <c r="A338" s="265" t="s">
        <v>709</v>
      </c>
      <c r="B338" s="266" t="s">
        <v>710</v>
      </c>
      <c r="C338" s="267">
        <v>36.135000000000005</v>
      </c>
    </row>
    <row r="339" spans="1:3">
      <c r="A339" s="265" t="s">
        <v>711</v>
      </c>
      <c r="B339" s="266" t="s">
        <v>712</v>
      </c>
      <c r="C339" s="267">
        <v>39.269999999999996</v>
      </c>
    </row>
    <row r="340" spans="1:3">
      <c r="A340" s="265" t="s">
        <v>713</v>
      </c>
      <c r="B340" s="266" t="s">
        <v>714</v>
      </c>
      <c r="C340" s="267">
        <v>39.6</v>
      </c>
    </row>
    <row r="341" spans="1:3">
      <c r="A341" s="265" t="s">
        <v>715</v>
      </c>
      <c r="B341" s="266" t="s">
        <v>716</v>
      </c>
      <c r="C341" s="267">
        <v>45.87</v>
      </c>
    </row>
    <row r="342" spans="1:3">
      <c r="A342" s="265" t="s">
        <v>717</v>
      </c>
      <c r="B342" s="266" t="s">
        <v>718</v>
      </c>
      <c r="C342" s="267">
        <v>55.440000000000005</v>
      </c>
    </row>
    <row r="343" spans="1:3">
      <c r="A343" s="265" t="s">
        <v>719</v>
      </c>
      <c r="B343" s="266" t="s">
        <v>720</v>
      </c>
      <c r="C343" s="267">
        <v>64.350000000000009</v>
      </c>
    </row>
    <row r="344" spans="1:3">
      <c r="A344" s="265" t="s">
        <v>721</v>
      </c>
      <c r="B344" s="266" t="s">
        <v>722</v>
      </c>
      <c r="C344" s="267">
        <v>40.425000000000004</v>
      </c>
    </row>
    <row r="345" spans="1:3">
      <c r="A345" s="265" t="s">
        <v>723</v>
      </c>
      <c r="B345" s="266" t="s">
        <v>724</v>
      </c>
      <c r="C345" s="267">
        <v>104.28</v>
      </c>
    </row>
    <row r="346" spans="1:3">
      <c r="A346" s="265" t="s">
        <v>725</v>
      </c>
      <c r="B346" s="266" t="s">
        <v>726</v>
      </c>
      <c r="C346" s="267">
        <v>82.995000000000005</v>
      </c>
    </row>
    <row r="347" spans="1:3">
      <c r="A347" s="265" t="s">
        <v>727</v>
      </c>
      <c r="B347" s="266" t="s">
        <v>726</v>
      </c>
      <c r="C347" s="267">
        <v>104.44500000000001</v>
      </c>
    </row>
    <row r="348" spans="1:3">
      <c r="A348" s="265" t="s">
        <v>728</v>
      </c>
      <c r="B348" s="266" t="s">
        <v>729</v>
      </c>
      <c r="C348" s="267">
        <v>219.94499999999999</v>
      </c>
    </row>
    <row r="349" spans="1:3">
      <c r="A349" s="265" t="s">
        <v>730</v>
      </c>
      <c r="B349" s="266" t="s">
        <v>731</v>
      </c>
      <c r="C349" s="267">
        <v>80.19</v>
      </c>
    </row>
    <row r="350" spans="1:3">
      <c r="A350" s="265" t="s">
        <v>732</v>
      </c>
      <c r="B350" s="266" t="s">
        <v>733</v>
      </c>
      <c r="C350" s="267">
        <v>317.79000000000002</v>
      </c>
    </row>
    <row r="351" spans="1:3">
      <c r="A351" s="265" t="s">
        <v>734</v>
      </c>
      <c r="B351" s="266" t="s">
        <v>735</v>
      </c>
      <c r="C351" s="267">
        <v>61.215000000000003</v>
      </c>
    </row>
    <row r="352" spans="1:3">
      <c r="A352" s="265" t="s">
        <v>736</v>
      </c>
      <c r="B352" s="266" t="s">
        <v>737</v>
      </c>
      <c r="C352" s="267">
        <v>3.63</v>
      </c>
    </row>
    <row r="353" spans="1:3">
      <c r="A353" s="265" t="s">
        <v>738</v>
      </c>
      <c r="B353" s="266" t="s">
        <v>739</v>
      </c>
      <c r="C353" s="267">
        <v>31.68</v>
      </c>
    </row>
    <row r="354" spans="1:3" ht="28.8">
      <c r="A354" s="265" t="s">
        <v>740</v>
      </c>
      <c r="B354" s="266" t="s">
        <v>741</v>
      </c>
      <c r="C354" s="267">
        <v>693.16500000000008</v>
      </c>
    </row>
    <row r="355" spans="1:3">
      <c r="A355" s="265" t="s">
        <v>742</v>
      </c>
      <c r="B355" s="266" t="s">
        <v>743</v>
      </c>
      <c r="C355" s="267">
        <v>693.16500000000008</v>
      </c>
    </row>
    <row r="356" spans="1:3">
      <c r="A356" s="265" t="s">
        <v>744</v>
      </c>
      <c r="B356" s="266" t="s">
        <v>745</v>
      </c>
      <c r="C356" s="267">
        <v>726.16500000000008</v>
      </c>
    </row>
    <row r="357" spans="1:3">
      <c r="A357" s="265" t="s">
        <v>746</v>
      </c>
      <c r="B357" s="266" t="s">
        <v>747</v>
      </c>
      <c r="C357" s="267">
        <v>7.4250000000000007</v>
      </c>
    </row>
    <row r="358" spans="1:3">
      <c r="A358" s="265" t="s">
        <v>748</v>
      </c>
      <c r="B358" s="266" t="s">
        <v>1680</v>
      </c>
      <c r="C358" s="267">
        <v>128.86500000000001</v>
      </c>
    </row>
    <row r="359" spans="1:3">
      <c r="A359" s="265" t="s">
        <v>749</v>
      </c>
      <c r="B359" s="266" t="s">
        <v>1701</v>
      </c>
      <c r="C359" s="267">
        <v>149.16</v>
      </c>
    </row>
    <row r="360" spans="1:3">
      <c r="A360" s="265" t="s">
        <v>750</v>
      </c>
      <c r="B360" s="266" t="s">
        <v>1685</v>
      </c>
      <c r="C360" s="267">
        <v>134.64000000000001</v>
      </c>
    </row>
    <row r="361" spans="1:3">
      <c r="A361" s="265" t="s">
        <v>751</v>
      </c>
      <c r="B361" s="266" t="s">
        <v>1702</v>
      </c>
      <c r="C361" s="267">
        <v>156.09000000000003</v>
      </c>
    </row>
    <row r="362" spans="1:3">
      <c r="A362" s="265" t="s">
        <v>752</v>
      </c>
      <c r="B362" s="266" t="s">
        <v>1686</v>
      </c>
      <c r="C362" s="267">
        <v>162.52500000000001</v>
      </c>
    </row>
    <row r="363" spans="1:3">
      <c r="A363" s="265" t="s">
        <v>753</v>
      </c>
      <c r="B363" s="266" t="s">
        <v>1703</v>
      </c>
      <c r="C363" s="267">
        <v>194.20499999999998</v>
      </c>
    </row>
    <row r="364" spans="1:3">
      <c r="A364" s="265" t="s">
        <v>754</v>
      </c>
      <c r="B364" s="266" t="s">
        <v>1681</v>
      </c>
      <c r="C364" s="267">
        <v>165.16500000000002</v>
      </c>
    </row>
    <row r="365" spans="1:3">
      <c r="A365" s="265" t="s">
        <v>755</v>
      </c>
      <c r="B365" s="266" t="s">
        <v>1704</v>
      </c>
      <c r="C365" s="267">
        <v>196.51500000000001</v>
      </c>
    </row>
    <row r="366" spans="1:3">
      <c r="A366" s="265" t="s">
        <v>756</v>
      </c>
      <c r="B366" s="266" t="s">
        <v>1687</v>
      </c>
      <c r="C366" s="267">
        <v>250.30500000000001</v>
      </c>
    </row>
    <row r="367" spans="1:3">
      <c r="A367" s="265" t="s">
        <v>757</v>
      </c>
      <c r="B367" s="266" t="s">
        <v>1705</v>
      </c>
      <c r="C367" s="267">
        <v>298.15500000000003</v>
      </c>
    </row>
    <row r="368" spans="1:3">
      <c r="A368" s="265" t="s">
        <v>758</v>
      </c>
      <c r="B368" s="266" t="s">
        <v>1688</v>
      </c>
      <c r="C368" s="267">
        <v>306.07500000000005</v>
      </c>
    </row>
    <row r="369" spans="1:3">
      <c r="A369" s="265" t="s">
        <v>759</v>
      </c>
      <c r="B369" s="266" t="s">
        <v>1706</v>
      </c>
      <c r="C369" s="267">
        <v>353.59500000000003</v>
      </c>
    </row>
    <row r="370" spans="1:3">
      <c r="A370" s="265" t="s">
        <v>760</v>
      </c>
      <c r="B370" s="266" t="s">
        <v>1707</v>
      </c>
      <c r="C370" s="267">
        <v>357.88499999999999</v>
      </c>
    </row>
    <row r="371" spans="1:3">
      <c r="A371" s="265" t="s">
        <v>761</v>
      </c>
      <c r="B371" s="266" t="s">
        <v>1708</v>
      </c>
      <c r="C371" s="267">
        <v>412.50000000000006</v>
      </c>
    </row>
    <row r="372" spans="1:3">
      <c r="A372" s="265" t="s">
        <v>762</v>
      </c>
      <c r="B372" s="266" t="s">
        <v>1680</v>
      </c>
      <c r="C372" s="267">
        <v>154.27500000000001</v>
      </c>
    </row>
    <row r="373" spans="1:3">
      <c r="A373" s="265" t="s">
        <v>763</v>
      </c>
      <c r="B373" s="266" t="s">
        <v>1685</v>
      </c>
      <c r="C373" s="267">
        <v>174.07500000000002</v>
      </c>
    </row>
    <row r="374" spans="1:3">
      <c r="A374" s="265" t="s">
        <v>764</v>
      </c>
      <c r="B374" s="266" t="s">
        <v>1681</v>
      </c>
      <c r="C374" s="267">
        <v>206.41500000000002</v>
      </c>
    </row>
    <row r="375" spans="1:3">
      <c r="A375" s="265" t="s">
        <v>765</v>
      </c>
      <c r="B375" s="266" t="s">
        <v>1692</v>
      </c>
      <c r="C375" s="267">
        <v>305.41500000000002</v>
      </c>
    </row>
    <row r="376" spans="1:3">
      <c r="A376" s="265" t="s">
        <v>766</v>
      </c>
      <c r="B376" s="266" t="s">
        <v>767</v>
      </c>
      <c r="C376" s="267">
        <v>218.13</v>
      </c>
    </row>
    <row r="377" spans="1:3">
      <c r="A377" s="265" t="s">
        <v>768</v>
      </c>
      <c r="B377" s="266" t="s">
        <v>769</v>
      </c>
      <c r="C377" s="267">
        <v>278.685</v>
      </c>
    </row>
    <row r="378" spans="1:3">
      <c r="A378" s="265" t="s">
        <v>770</v>
      </c>
      <c r="B378" s="266" t="s">
        <v>771</v>
      </c>
      <c r="C378" s="267">
        <v>341.38499999999999</v>
      </c>
    </row>
    <row r="379" spans="1:3">
      <c r="A379" s="265" t="s">
        <v>772</v>
      </c>
      <c r="B379" s="266" t="s">
        <v>773</v>
      </c>
      <c r="C379" s="267">
        <v>193.87500000000003</v>
      </c>
    </row>
    <row r="380" spans="1:3">
      <c r="A380" s="265" t="s">
        <v>774</v>
      </c>
      <c r="B380" s="266" t="s">
        <v>775</v>
      </c>
      <c r="C380" s="267">
        <v>65.504999999999995</v>
      </c>
    </row>
    <row r="381" spans="1:3">
      <c r="A381" s="265" t="s">
        <v>776</v>
      </c>
      <c r="B381" s="266" t="s">
        <v>777</v>
      </c>
      <c r="C381" s="267">
        <v>68.31</v>
      </c>
    </row>
    <row r="382" spans="1:3">
      <c r="A382" s="265" t="s">
        <v>778</v>
      </c>
      <c r="B382" s="266" t="s">
        <v>779</v>
      </c>
      <c r="C382" s="267">
        <v>82.5</v>
      </c>
    </row>
    <row r="383" spans="1:3">
      <c r="A383" s="265" t="s">
        <v>780</v>
      </c>
      <c r="B383" s="266" t="s">
        <v>781</v>
      </c>
      <c r="C383" s="267">
        <v>81.015000000000001</v>
      </c>
    </row>
    <row r="384" spans="1:3">
      <c r="A384" s="265" t="s">
        <v>782</v>
      </c>
      <c r="B384" s="266" t="s">
        <v>783</v>
      </c>
      <c r="C384" s="267">
        <v>87.12</v>
      </c>
    </row>
    <row r="385" spans="1:3">
      <c r="A385" s="268" t="s">
        <v>784</v>
      </c>
      <c r="B385" s="266" t="s">
        <v>785</v>
      </c>
      <c r="C385" s="267">
        <v>98.670000000000016</v>
      </c>
    </row>
    <row r="386" spans="1:3">
      <c r="A386" s="268" t="s">
        <v>786</v>
      </c>
      <c r="B386" s="266" t="s">
        <v>724</v>
      </c>
      <c r="C386" s="267">
        <v>260.04000000000002</v>
      </c>
    </row>
    <row r="387" spans="1:3">
      <c r="A387" s="268" t="s">
        <v>787</v>
      </c>
      <c r="B387" s="266" t="s">
        <v>788</v>
      </c>
      <c r="C387" s="267">
        <v>168.13500000000002</v>
      </c>
    </row>
    <row r="388" spans="1:3">
      <c r="A388" s="265" t="s">
        <v>789</v>
      </c>
      <c r="B388" s="266" t="s">
        <v>790</v>
      </c>
      <c r="C388" s="267">
        <v>520.08000000000004</v>
      </c>
    </row>
    <row r="389" spans="1:3">
      <c r="A389" s="268" t="s">
        <v>791</v>
      </c>
      <c r="B389" s="266" t="s">
        <v>792</v>
      </c>
      <c r="C389" s="267">
        <v>707.19</v>
      </c>
    </row>
    <row r="390" spans="1:3">
      <c r="A390" s="265" t="s">
        <v>793</v>
      </c>
      <c r="B390" s="266" t="s">
        <v>794</v>
      </c>
      <c r="C390" s="267">
        <v>520.08000000000004</v>
      </c>
    </row>
    <row r="391" spans="1:3">
      <c r="A391" s="265" t="s">
        <v>795</v>
      </c>
      <c r="B391" s="266" t="s">
        <v>796</v>
      </c>
      <c r="C391" s="267">
        <v>707.19</v>
      </c>
    </row>
    <row r="392" spans="1:3">
      <c r="A392" s="265" t="s">
        <v>797</v>
      </c>
      <c r="B392" s="266" t="s">
        <v>798</v>
      </c>
      <c r="C392" s="267">
        <v>552.75</v>
      </c>
    </row>
    <row r="393" spans="1:3">
      <c r="A393" s="265" t="s">
        <v>799</v>
      </c>
      <c r="B393" s="266" t="s">
        <v>800</v>
      </c>
      <c r="C393" s="267">
        <v>252.94500000000002</v>
      </c>
    </row>
    <row r="394" spans="1:3">
      <c r="A394" s="265" t="s">
        <v>801</v>
      </c>
      <c r="B394" s="266" t="s">
        <v>802</v>
      </c>
      <c r="C394" s="267">
        <v>340.56</v>
      </c>
    </row>
    <row r="395" spans="1:3">
      <c r="A395" s="265" t="s">
        <v>803</v>
      </c>
      <c r="B395" s="266" t="s">
        <v>804</v>
      </c>
      <c r="C395" s="267">
        <v>384.94499999999999</v>
      </c>
    </row>
    <row r="396" spans="1:3">
      <c r="A396" s="265" t="s">
        <v>805</v>
      </c>
      <c r="B396" s="266" t="s">
        <v>806</v>
      </c>
      <c r="C396" s="267">
        <v>355.57500000000005</v>
      </c>
    </row>
    <row r="397" spans="1:3">
      <c r="A397" s="265" t="s">
        <v>807</v>
      </c>
      <c r="B397" s="266" t="s">
        <v>808</v>
      </c>
      <c r="C397" s="267">
        <v>474.87</v>
      </c>
    </row>
    <row r="398" spans="1:3">
      <c r="A398" s="265" t="s">
        <v>809</v>
      </c>
      <c r="B398" s="266" t="s">
        <v>810</v>
      </c>
      <c r="C398" s="267">
        <v>644.98500000000013</v>
      </c>
    </row>
    <row r="399" spans="1:3">
      <c r="A399" s="265" t="s">
        <v>811</v>
      </c>
      <c r="B399" s="266" t="s">
        <v>812</v>
      </c>
      <c r="C399" s="267">
        <v>726.66000000000008</v>
      </c>
    </row>
    <row r="400" spans="1:3" ht="28.8">
      <c r="A400" s="265" t="s">
        <v>813</v>
      </c>
      <c r="B400" s="266" t="s">
        <v>814</v>
      </c>
      <c r="C400" s="267">
        <v>561</v>
      </c>
    </row>
    <row r="401" spans="1:3" ht="28.8">
      <c r="A401" s="265" t="s">
        <v>815</v>
      </c>
      <c r="B401" s="266" t="s">
        <v>816</v>
      </c>
      <c r="C401" s="267">
        <v>561</v>
      </c>
    </row>
    <row r="402" spans="1:3" ht="28.8">
      <c r="A402" s="265" t="s">
        <v>817</v>
      </c>
      <c r="B402" s="266" t="s">
        <v>816</v>
      </c>
      <c r="C402" s="267">
        <v>561</v>
      </c>
    </row>
    <row r="403" spans="1:3">
      <c r="A403" s="265" t="s">
        <v>818</v>
      </c>
      <c r="B403" s="266" t="s">
        <v>819</v>
      </c>
      <c r="C403" s="267">
        <v>627.66000000000008</v>
      </c>
    </row>
    <row r="404" spans="1:3">
      <c r="A404" s="265" t="s">
        <v>820</v>
      </c>
      <c r="B404" s="266" t="s">
        <v>821</v>
      </c>
      <c r="C404" s="267">
        <v>270.10500000000002</v>
      </c>
    </row>
    <row r="405" spans="1:3">
      <c r="A405" s="265" t="s">
        <v>822</v>
      </c>
      <c r="B405" s="266" t="s">
        <v>823</v>
      </c>
      <c r="C405" s="267">
        <v>200.80500000000001</v>
      </c>
    </row>
    <row r="406" spans="1:3">
      <c r="A406" s="265" t="s">
        <v>824</v>
      </c>
      <c r="B406" s="266" t="s">
        <v>825</v>
      </c>
      <c r="C406" s="267">
        <v>339.73500000000001</v>
      </c>
    </row>
    <row r="407" spans="1:3">
      <c r="A407" s="265" t="s">
        <v>826</v>
      </c>
      <c r="B407" s="266" t="s">
        <v>827</v>
      </c>
      <c r="C407" s="267">
        <v>380.98500000000001</v>
      </c>
    </row>
    <row r="408" spans="1:3">
      <c r="A408" s="265" t="s">
        <v>828</v>
      </c>
      <c r="B408" s="266" t="s">
        <v>829</v>
      </c>
      <c r="C408" s="267">
        <v>470.41500000000002</v>
      </c>
    </row>
    <row r="409" spans="1:3">
      <c r="A409" s="265" t="s">
        <v>830</v>
      </c>
      <c r="B409" s="266" t="s">
        <v>831</v>
      </c>
      <c r="C409" s="267">
        <v>159.22500000000002</v>
      </c>
    </row>
    <row r="410" spans="1:3">
      <c r="A410" s="265" t="s">
        <v>832</v>
      </c>
      <c r="B410" s="266" t="s">
        <v>833</v>
      </c>
      <c r="C410" s="267">
        <v>178.035</v>
      </c>
    </row>
    <row r="411" spans="1:3">
      <c r="A411" s="265" t="s">
        <v>834</v>
      </c>
      <c r="B411" s="266" t="s">
        <v>835</v>
      </c>
      <c r="C411" s="267">
        <v>210.04500000000002</v>
      </c>
    </row>
    <row r="412" spans="1:3">
      <c r="A412" s="265" t="s">
        <v>836</v>
      </c>
      <c r="B412" s="266" t="s">
        <v>837</v>
      </c>
      <c r="C412" s="267">
        <v>496.32000000000005</v>
      </c>
    </row>
    <row r="413" spans="1:3" ht="28.8">
      <c r="A413" s="265" t="s">
        <v>838</v>
      </c>
      <c r="B413" s="266" t="s">
        <v>839</v>
      </c>
      <c r="C413" s="267">
        <v>49.500000000000007</v>
      </c>
    </row>
    <row r="414" spans="1:3">
      <c r="A414" s="265" t="s">
        <v>840</v>
      </c>
      <c r="B414" s="266" t="s">
        <v>841</v>
      </c>
      <c r="C414" s="267">
        <v>601.2600000000001</v>
      </c>
    </row>
    <row r="415" spans="1:3" ht="28.8">
      <c r="A415" s="265" t="s">
        <v>842</v>
      </c>
      <c r="B415" s="266" t="s">
        <v>843</v>
      </c>
      <c r="C415" s="267">
        <v>67.320000000000007</v>
      </c>
    </row>
    <row r="416" spans="1:3">
      <c r="A416" s="265" t="s">
        <v>844</v>
      </c>
      <c r="B416" s="266" t="s">
        <v>845</v>
      </c>
      <c r="C416" s="267">
        <v>641.68500000000006</v>
      </c>
    </row>
    <row r="417" spans="1:3">
      <c r="A417" s="265" t="s">
        <v>846</v>
      </c>
      <c r="B417" s="266" t="s">
        <v>847</v>
      </c>
      <c r="C417" s="267">
        <v>765.93000000000006</v>
      </c>
    </row>
    <row r="418" spans="1:3">
      <c r="A418" s="265" t="s">
        <v>848</v>
      </c>
      <c r="B418" s="266" t="s">
        <v>849</v>
      </c>
      <c r="C418" s="267">
        <v>765.93000000000006</v>
      </c>
    </row>
    <row r="419" spans="1:3" ht="28.8">
      <c r="A419" s="268" t="s">
        <v>850</v>
      </c>
      <c r="B419" s="266" t="s">
        <v>1709</v>
      </c>
      <c r="C419" s="267">
        <v>674.68500000000006</v>
      </c>
    </row>
    <row r="420" spans="1:3" ht="28.8">
      <c r="A420" s="265" t="s">
        <v>851</v>
      </c>
      <c r="B420" s="266" t="s">
        <v>1710</v>
      </c>
      <c r="C420" s="267">
        <v>863.77500000000009</v>
      </c>
    </row>
    <row r="421" spans="1:3">
      <c r="A421" s="265" t="s">
        <v>852</v>
      </c>
      <c r="B421" s="266" t="s">
        <v>853</v>
      </c>
      <c r="C421" s="267">
        <v>863.77500000000009</v>
      </c>
    </row>
    <row r="422" spans="1:3">
      <c r="A422" s="265" t="s">
        <v>854</v>
      </c>
      <c r="B422" s="266" t="s">
        <v>855</v>
      </c>
      <c r="C422" s="267">
        <v>674.68500000000006</v>
      </c>
    </row>
    <row r="423" spans="1:3">
      <c r="A423" s="265" t="s">
        <v>856</v>
      </c>
      <c r="B423" s="266" t="s">
        <v>857</v>
      </c>
      <c r="C423" s="267">
        <v>641.68500000000006</v>
      </c>
    </row>
    <row r="424" spans="1:3">
      <c r="A424" s="265" t="s">
        <v>858</v>
      </c>
      <c r="B424" s="266" t="s">
        <v>859</v>
      </c>
      <c r="C424" s="267">
        <v>601.2600000000001</v>
      </c>
    </row>
    <row r="425" spans="1:3" ht="28.8">
      <c r="A425" s="265" t="s">
        <v>860</v>
      </c>
      <c r="B425" s="266" t="s">
        <v>1711</v>
      </c>
      <c r="C425" s="267">
        <v>633.92999999999995</v>
      </c>
    </row>
    <row r="426" spans="1:3">
      <c r="A426" s="265" t="s">
        <v>861</v>
      </c>
      <c r="B426" s="266" t="s">
        <v>862</v>
      </c>
      <c r="C426" s="267">
        <v>1278.42</v>
      </c>
    </row>
    <row r="427" spans="1:3">
      <c r="A427" s="265" t="s">
        <v>863</v>
      </c>
      <c r="B427" s="266" t="s">
        <v>864</v>
      </c>
      <c r="C427" s="267">
        <v>1302.8399999999999</v>
      </c>
    </row>
    <row r="428" spans="1:3">
      <c r="A428" s="265" t="s">
        <v>865</v>
      </c>
      <c r="B428" s="266" t="s">
        <v>866</v>
      </c>
      <c r="C428" s="267">
        <v>1466.8500000000001</v>
      </c>
    </row>
    <row r="429" spans="1:3">
      <c r="A429" s="265" t="s">
        <v>867</v>
      </c>
      <c r="B429" s="266" t="s">
        <v>868</v>
      </c>
      <c r="C429" s="267">
        <v>1494.9</v>
      </c>
    </row>
    <row r="430" spans="1:3" ht="28.8">
      <c r="A430" s="265" t="s">
        <v>869</v>
      </c>
      <c r="B430" s="266" t="s">
        <v>1712</v>
      </c>
      <c r="C430" s="267">
        <v>67.155000000000001</v>
      </c>
    </row>
    <row r="431" spans="1:3">
      <c r="A431" s="265" t="s">
        <v>870</v>
      </c>
      <c r="B431" s="266" t="s">
        <v>871</v>
      </c>
      <c r="C431" s="267">
        <v>504.90000000000003</v>
      </c>
    </row>
    <row r="432" spans="1:3">
      <c r="A432" s="265" t="s">
        <v>872</v>
      </c>
      <c r="B432" s="266" t="s">
        <v>873</v>
      </c>
      <c r="C432" s="267">
        <v>1776.06</v>
      </c>
    </row>
    <row r="433" spans="1:3">
      <c r="A433" s="265" t="s">
        <v>874</v>
      </c>
      <c r="B433" s="266" t="s">
        <v>873</v>
      </c>
      <c r="C433" s="267">
        <v>1845.1950000000002</v>
      </c>
    </row>
    <row r="434" spans="1:3">
      <c r="A434" s="265" t="s">
        <v>875</v>
      </c>
      <c r="B434" s="266" t="s">
        <v>873</v>
      </c>
      <c r="C434" s="267">
        <v>1923.075</v>
      </c>
    </row>
    <row r="435" spans="1:3">
      <c r="A435" s="265" t="s">
        <v>876</v>
      </c>
      <c r="B435" s="266" t="s">
        <v>873</v>
      </c>
      <c r="C435" s="267">
        <v>1923.075</v>
      </c>
    </row>
    <row r="436" spans="1:3">
      <c r="A436" s="265" t="s">
        <v>877</v>
      </c>
      <c r="B436" s="266" t="s">
        <v>878</v>
      </c>
      <c r="C436" s="267">
        <v>2032.3050000000001</v>
      </c>
    </row>
    <row r="437" spans="1:3">
      <c r="A437" s="265" t="s">
        <v>879</v>
      </c>
      <c r="B437" s="266" t="s">
        <v>878</v>
      </c>
      <c r="C437" s="267">
        <v>2070.2550000000001</v>
      </c>
    </row>
    <row r="438" spans="1:3">
      <c r="A438" s="265" t="s">
        <v>880</v>
      </c>
      <c r="B438" s="266" t="s">
        <v>881</v>
      </c>
      <c r="C438" s="267">
        <v>55.440000000000005</v>
      </c>
    </row>
    <row r="439" spans="1:3">
      <c r="A439" s="265" t="s">
        <v>882</v>
      </c>
      <c r="B439" s="266" t="s">
        <v>883</v>
      </c>
      <c r="C439" s="267">
        <v>572.22</v>
      </c>
    </row>
    <row r="440" spans="1:3">
      <c r="A440" s="265" t="s">
        <v>884</v>
      </c>
      <c r="B440" s="266" t="s">
        <v>885</v>
      </c>
      <c r="C440" s="267">
        <v>709.83</v>
      </c>
    </row>
    <row r="441" spans="1:3">
      <c r="A441" s="265" t="s">
        <v>886</v>
      </c>
      <c r="B441" s="266" t="s">
        <v>887</v>
      </c>
      <c r="C441" s="267">
        <v>797.77500000000009</v>
      </c>
    </row>
    <row r="442" spans="1:3">
      <c r="A442" s="265" t="s">
        <v>888</v>
      </c>
      <c r="B442" s="266" t="s">
        <v>837</v>
      </c>
      <c r="C442" s="267">
        <v>783.58500000000004</v>
      </c>
    </row>
    <row r="443" spans="1:3">
      <c r="A443" s="265" t="s">
        <v>889</v>
      </c>
      <c r="B443" s="266" t="s">
        <v>890</v>
      </c>
      <c r="C443" s="267">
        <v>52.965000000000003</v>
      </c>
    </row>
    <row r="444" spans="1:3">
      <c r="A444" s="265" t="s">
        <v>891</v>
      </c>
      <c r="B444" s="266" t="s">
        <v>892</v>
      </c>
      <c r="C444" s="267">
        <v>55.440000000000005</v>
      </c>
    </row>
    <row r="445" spans="1:3" ht="28.8">
      <c r="A445" s="265" t="s">
        <v>893</v>
      </c>
      <c r="B445" s="266" t="s">
        <v>894</v>
      </c>
      <c r="C445" s="267">
        <v>49.664999999999999</v>
      </c>
    </row>
    <row r="446" spans="1:3">
      <c r="A446" s="265" t="s">
        <v>895</v>
      </c>
      <c r="B446" s="266" t="s">
        <v>896</v>
      </c>
      <c r="C446" s="267">
        <v>2.64</v>
      </c>
    </row>
    <row r="447" spans="1:3">
      <c r="A447" s="265" t="s">
        <v>897</v>
      </c>
      <c r="B447" s="266" t="s">
        <v>898</v>
      </c>
      <c r="C447" s="267">
        <v>221.76000000000002</v>
      </c>
    </row>
    <row r="448" spans="1:3">
      <c r="A448" s="265" t="s">
        <v>899</v>
      </c>
      <c r="B448" s="266" t="s">
        <v>900</v>
      </c>
      <c r="C448" s="267">
        <v>205.59000000000003</v>
      </c>
    </row>
    <row r="449" spans="1:3">
      <c r="A449" s="265" t="s">
        <v>901</v>
      </c>
      <c r="B449" s="266" t="s">
        <v>902</v>
      </c>
      <c r="C449" s="267">
        <v>433.29</v>
      </c>
    </row>
    <row r="450" spans="1:3">
      <c r="A450" s="265" t="s">
        <v>903</v>
      </c>
      <c r="B450" s="266" t="s">
        <v>904</v>
      </c>
      <c r="C450" s="267">
        <v>435.27000000000004</v>
      </c>
    </row>
    <row r="451" spans="1:3">
      <c r="A451" s="265" t="s">
        <v>905</v>
      </c>
      <c r="B451" s="266" t="s">
        <v>906</v>
      </c>
      <c r="C451" s="267">
        <v>436.92</v>
      </c>
    </row>
    <row r="452" spans="1:3">
      <c r="A452" s="265" t="s">
        <v>907</v>
      </c>
      <c r="B452" s="266" t="s">
        <v>908</v>
      </c>
      <c r="C452" s="267">
        <v>54.285000000000004</v>
      </c>
    </row>
    <row r="453" spans="1:3">
      <c r="A453" s="265" t="s">
        <v>909</v>
      </c>
      <c r="B453" s="266" t="s">
        <v>910</v>
      </c>
      <c r="C453" s="267">
        <v>32.505000000000003</v>
      </c>
    </row>
    <row r="454" spans="1:3">
      <c r="A454" s="265" t="s">
        <v>911</v>
      </c>
      <c r="B454" s="266" t="s">
        <v>912</v>
      </c>
      <c r="C454" s="267">
        <v>60.72</v>
      </c>
    </row>
    <row r="455" spans="1:3">
      <c r="A455" s="265" t="s">
        <v>913</v>
      </c>
      <c r="B455" s="266" t="s">
        <v>914</v>
      </c>
      <c r="C455" s="267">
        <v>72.105000000000004</v>
      </c>
    </row>
    <row r="456" spans="1:3">
      <c r="A456" s="265" t="s">
        <v>915</v>
      </c>
      <c r="B456" s="266" t="s">
        <v>916</v>
      </c>
      <c r="C456" s="267">
        <v>55.275000000000006</v>
      </c>
    </row>
    <row r="457" spans="1:3">
      <c r="A457" s="265" t="s">
        <v>917</v>
      </c>
      <c r="B457" s="266" t="s">
        <v>918</v>
      </c>
      <c r="C457" s="267">
        <v>43.725000000000001</v>
      </c>
    </row>
    <row r="458" spans="1:3">
      <c r="A458" s="265" t="s">
        <v>919</v>
      </c>
      <c r="B458" s="266" t="s">
        <v>920</v>
      </c>
      <c r="C458" s="267">
        <v>57.09</v>
      </c>
    </row>
    <row r="459" spans="1:3">
      <c r="A459" s="265" t="s">
        <v>921</v>
      </c>
      <c r="B459" s="266" t="s">
        <v>922</v>
      </c>
      <c r="C459" s="267">
        <v>970.53</v>
      </c>
    </row>
    <row r="460" spans="1:3" ht="28.8">
      <c r="A460" s="265" t="s">
        <v>923</v>
      </c>
      <c r="B460" s="266" t="s">
        <v>1709</v>
      </c>
      <c r="C460" s="267">
        <v>1053.5250000000001</v>
      </c>
    </row>
    <row r="461" spans="1:3">
      <c r="A461" s="265" t="s">
        <v>924</v>
      </c>
      <c r="B461" s="266" t="s">
        <v>855</v>
      </c>
      <c r="C461" s="267">
        <v>1053.5250000000001</v>
      </c>
    </row>
    <row r="462" spans="1:3" ht="28.8">
      <c r="A462" s="265" t="s">
        <v>925</v>
      </c>
      <c r="B462" s="266" t="s">
        <v>741</v>
      </c>
      <c r="C462" s="267">
        <v>1139.9849999999999</v>
      </c>
    </row>
    <row r="463" spans="1:3">
      <c r="A463" s="265" t="s">
        <v>926</v>
      </c>
      <c r="B463" s="266" t="s">
        <v>743</v>
      </c>
      <c r="C463" s="267">
        <v>1139.9849999999999</v>
      </c>
    </row>
    <row r="464" spans="1:3">
      <c r="A464" s="265" t="s">
        <v>927</v>
      </c>
      <c r="B464" s="266" t="s">
        <v>928</v>
      </c>
      <c r="C464" s="267">
        <v>970.53</v>
      </c>
    </row>
    <row r="465" spans="1:3">
      <c r="A465" s="265" t="s">
        <v>929</v>
      </c>
      <c r="B465" s="266" t="s">
        <v>930</v>
      </c>
      <c r="C465" s="267">
        <v>593.505</v>
      </c>
    </row>
    <row r="466" spans="1:3">
      <c r="A466" s="265" t="s">
        <v>931</v>
      </c>
      <c r="B466" s="266" t="s">
        <v>930</v>
      </c>
      <c r="C466" s="267">
        <v>646.80000000000007</v>
      </c>
    </row>
    <row r="467" spans="1:3">
      <c r="A467" s="265" t="s">
        <v>932</v>
      </c>
      <c r="B467" s="266" t="s">
        <v>933</v>
      </c>
      <c r="C467" s="267">
        <v>149.16</v>
      </c>
    </row>
    <row r="468" spans="1:3">
      <c r="A468" s="268" t="s">
        <v>934</v>
      </c>
      <c r="B468" s="266" t="s">
        <v>935</v>
      </c>
      <c r="C468" s="267">
        <v>72.600000000000009</v>
      </c>
    </row>
    <row r="469" spans="1:3">
      <c r="A469" s="268" t="s">
        <v>936</v>
      </c>
      <c r="B469" s="266" t="s">
        <v>937</v>
      </c>
      <c r="C469" s="267">
        <v>77.550000000000011</v>
      </c>
    </row>
    <row r="470" spans="1:3">
      <c r="A470" s="265" t="s">
        <v>938</v>
      </c>
      <c r="B470" s="266" t="s">
        <v>939</v>
      </c>
      <c r="C470" s="267">
        <v>75.239999999999995</v>
      </c>
    </row>
    <row r="471" spans="1:3">
      <c r="A471" s="265" t="s">
        <v>940</v>
      </c>
      <c r="B471" s="266" t="s">
        <v>941</v>
      </c>
      <c r="C471" s="267">
        <v>80.850000000000009</v>
      </c>
    </row>
    <row r="472" spans="1:3">
      <c r="A472" s="265" t="s">
        <v>942</v>
      </c>
      <c r="B472" s="266" t="s">
        <v>943</v>
      </c>
      <c r="C472" s="267">
        <v>32.67</v>
      </c>
    </row>
    <row r="473" spans="1:3">
      <c r="A473" s="265" t="s">
        <v>944</v>
      </c>
      <c r="B473" s="266" t="s">
        <v>945</v>
      </c>
      <c r="C473" s="267">
        <v>39.269999999999996</v>
      </c>
    </row>
    <row r="474" spans="1:3">
      <c r="A474" s="265" t="s">
        <v>946</v>
      </c>
      <c r="B474" s="266" t="s">
        <v>947</v>
      </c>
      <c r="C474" s="267">
        <v>41.58</v>
      </c>
    </row>
    <row r="475" spans="1:3">
      <c r="A475" s="265" t="s">
        <v>948</v>
      </c>
      <c r="B475" s="266" t="s">
        <v>949</v>
      </c>
      <c r="C475" s="267">
        <v>43.065000000000005</v>
      </c>
    </row>
    <row r="476" spans="1:3">
      <c r="A476" s="265" t="s">
        <v>950</v>
      </c>
      <c r="B476" s="266" t="s">
        <v>951</v>
      </c>
      <c r="C476" s="267">
        <v>44.550000000000004</v>
      </c>
    </row>
    <row r="477" spans="1:3">
      <c r="A477" s="265" t="s">
        <v>952</v>
      </c>
      <c r="B477" s="266" t="s">
        <v>953</v>
      </c>
      <c r="C477" s="267">
        <v>45.54</v>
      </c>
    </row>
    <row r="478" spans="1:3">
      <c r="A478" s="265" t="s">
        <v>954</v>
      </c>
      <c r="B478" s="266" t="s">
        <v>955</v>
      </c>
      <c r="C478" s="267">
        <v>50.325000000000003</v>
      </c>
    </row>
    <row r="479" spans="1:3">
      <c r="A479" s="265" t="s">
        <v>956</v>
      </c>
      <c r="B479" s="266" t="s">
        <v>957</v>
      </c>
      <c r="C479" s="267">
        <v>58.08</v>
      </c>
    </row>
    <row r="480" spans="1:3">
      <c r="A480" s="265" t="s">
        <v>958</v>
      </c>
      <c r="B480" s="266" t="s">
        <v>959</v>
      </c>
      <c r="C480" s="267">
        <v>64.515000000000001</v>
      </c>
    </row>
    <row r="481" spans="1:3">
      <c r="A481" s="265" t="s">
        <v>960</v>
      </c>
      <c r="B481" s="266" t="s">
        <v>961</v>
      </c>
      <c r="C481" s="267">
        <v>79.695000000000007</v>
      </c>
    </row>
    <row r="482" spans="1:3">
      <c r="A482" s="265" t="s">
        <v>962</v>
      </c>
      <c r="B482" s="266" t="s">
        <v>963</v>
      </c>
      <c r="C482" s="267">
        <v>86.789999999999992</v>
      </c>
    </row>
    <row r="483" spans="1:3">
      <c r="A483" s="265" t="s">
        <v>964</v>
      </c>
      <c r="B483" s="266" t="s">
        <v>943</v>
      </c>
      <c r="C483" s="267">
        <v>26.895000000000003</v>
      </c>
    </row>
    <row r="484" spans="1:3">
      <c r="A484" s="269" t="s">
        <v>965</v>
      </c>
      <c r="B484" s="270" t="s">
        <v>966</v>
      </c>
      <c r="C484" s="271">
        <v>32.340000000000003</v>
      </c>
    </row>
    <row r="485" spans="1:3">
      <c r="A485" s="269" t="s">
        <v>967</v>
      </c>
      <c r="B485" s="270" t="s">
        <v>968</v>
      </c>
      <c r="C485" s="271">
        <v>33.164999999999999</v>
      </c>
    </row>
    <row r="486" spans="1:3">
      <c r="A486" s="269" t="s">
        <v>969</v>
      </c>
      <c r="B486" s="270" t="s">
        <v>970</v>
      </c>
      <c r="C486" s="271">
        <v>34.155000000000001</v>
      </c>
    </row>
    <row r="487" spans="1:3">
      <c r="A487" s="269" t="s">
        <v>971</v>
      </c>
      <c r="B487" s="270" t="s">
        <v>972</v>
      </c>
      <c r="C487" s="271">
        <v>35.145000000000003</v>
      </c>
    </row>
    <row r="488" spans="1:3">
      <c r="A488" s="269" t="s">
        <v>973</v>
      </c>
      <c r="B488" s="270" t="s">
        <v>974</v>
      </c>
      <c r="C488" s="271">
        <v>38.610000000000007</v>
      </c>
    </row>
    <row r="489" spans="1:3">
      <c r="A489" s="269" t="s">
        <v>975</v>
      </c>
      <c r="B489" s="270" t="s">
        <v>976</v>
      </c>
      <c r="C489" s="271">
        <v>42.900000000000006</v>
      </c>
    </row>
    <row r="490" spans="1:3">
      <c r="A490" s="269" t="s">
        <v>977</v>
      </c>
      <c r="B490" s="270" t="s">
        <v>978</v>
      </c>
      <c r="C490" s="271">
        <v>32.340000000000003</v>
      </c>
    </row>
    <row r="491" spans="1:3">
      <c r="A491" s="269" t="s">
        <v>979</v>
      </c>
      <c r="B491" s="270" t="s">
        <v>980</v>
      </c>
      <c r="C491" s="271">
        <v>39.269999999999996</v>
      </c>
    </row>
    <row r="492" spans="1:3">
      <c r="A492" s="269" t="s">
        <v>981</v>
      </c>
      <c r="B492" s="270" t="s">
        <v>982</v>
      </c>
      <c r="C492" s="271">
        <v>46.035000000000004</v>
      </c>
    </row>
    <row r="493" spans="1:3">
      <c r="A493" s="269" t="s">
        <v>983</v>
      </c>
      <c r="B493" s="270" t="s">
        <v>984</v>
      </c>
      <c r="C493" s="271">
        <v>51.975000000000001</v>
      </c>
    </row>
    <row r="494" spans="1:3">
      <c r="A494" s="269" t="s">
        <v>985</v>
      </c>
      <c r="B494" s="270" t="s">
        <v>986</v>
      </c>
      <c r="C494" s="271">
        <v>30.030000000000005</v>
      </c>
    </row>
    <row r="495" spans="1:3">
      <c r="A495" s="269" t="s">
        <v>987</v>
      </c>
      <c r="B495" s="270" t="s">
        <v>988</v>
      </c>
      <c r="C495" s="271">
        <v>37.29</v>
      </c>
    </row>
    <row r="496" spans="1:3">
      <c r="A496" s="269" t="s">
        <v>989</v>
      </c>
      <c r="B496" s="270" t="s">
        <v>990</v>
      </c>
      <c r="C496" s="271">
        <v>41.58</v>
      </c>
    </row>
    <row r="497" spans="1:3">
      <c r="A497" s="269" t="s">
        <v>991</v>
      </c>
      <c r="B497" s="270" t="s">
        <v>992</v>
      </c>
      <c r="C497" s="271">
        <v>47.519999999999996</v>
      </c>
    </row>
    <row r="498" spans="1:3">
      <c r="A498" s="269" t="s">
        <v>993</v>
      </c>
      <c r="B498" s="270" t="s">
        <v>994</v>
      </c>
      <c r="C498" s="271">
        <v>152.29499999999999</v>
      </c>
    </row>
    <row r="499" spans="1:3">
      <c r="A499" s="269" t="s">
        <v>995</v>
      </c>
      <c r="B499" s="270" t="s">
        <v>996</v>
      </c>
      <c r="C499" s="271">
        <v>64.185000000000002</v>
      </c>
    </row>
    <row r="500" spans="1:3">
      <c r="A500" s="269" t="s">
        <v>997</v>
      </c>
      <c r="B500" s="270" t="s">
        <v>998</v>
      </c>
      <c r="C500" s="271">
        <v>59.730000000000004</v>
      </c>
    </row>
    <row r="501" spans="1:3">
      <c r="A501" s="269" t="s">
        <v>999</v>
      </c>
      <c r="B501" s="270" t="s">
        <v>996</v>
      </c>
      <c r="C501" s="271">
        <v>64.185000000000002</v>
      </c>
    </row>
    <row r="502" spans="1:3">
      <c r="A502" s="269" t="s">
        <v>1000</v>
      </c>
      <c r="B502" s="270" t="s">
        <v>1001</v>
      </c>
      <c r="C502" s="271">
        <v>66.66</v>
      </c>
    </row>
    <row r="503" spans="1:3">
      <c r="A503" s="269" t="s">
        <v>1002</v>
      </c>
      <c r="B503" s="270" t="s">
        <v>1003</v>
      </c>
      <c r="C503" s="271">
        <v>62.865000000000002</v>
      </c>
    </row>
    <row r="504" spans="1:3">
      <c r="A504" s="269" t="s">
        <v>1004</v>
      </c>
      <c r="B504" s="270" t="s">
        <v>1001</v>
      </c>
      <c r="C504" s="271">
        <v>66.66</v>
      </c>
    </row>
    <row r="505" spans="1:3">
      <c r="A505" s="269" t="s">
        <v>1005</v>
      </c>
      <c r="B505" s="270" t="s">
        <v>1006</v>
      </c>
      <c r="C505" s="271">
        <v>159.88500000000002</v>
      </c>
    </row>
    <row r="506" spans="1:3">
      <c r="A506" s="269" t="s">
        <v>1007</v>
      </c>
      <c r="B506" s="270" t="s">
        <v>1008</v>
      </c>
      <c r="C506" s="271">
        <v>35.31</v>
      </c>
    </row>
    <row r="507" spans="1:3">
      <c r="A507" s="269" t="s">
        <v>1009</v>
      </c>
      <c r="B507" s="270" t="s">
        <v>945</v>
      </c>
      <c r="C507" s="271">
        <v>41.25</v>
      </c>
    </row>
    <row r="508" spans="1:3">
      <c r="A508" s="269" t="s">
        <v>1010</v>
      </c>
      <c r="B508" s="270" t="s">
        <v>947</v>
      </c>
      <c r="C508" s="271">
        <v>43.725000000000001</v>
      </c>
    </row>
    <row r="509" spans="1:3">
      <c r="A509" s="269" t="s">
        <v>1011</v>
      </c>
      <c r="B509" s="270" t="s">
        <v>949</v>
      </c>
      <c r="C509" s="271">
        <v>46.695</v>
      </c>
    </row>
    <row r="510" spans="1:3">
      <c r="A510" s="269" t="s">
        <v>1012</v>
      </c>
      <c r="B510" s="270" t="s">
        <v>951</v>
      </c>
      <c r="C510" s="271">
        <v>48.344999999999999</v>
      </c>
    </row>
    <row r="511" spans="1:3">
      <c r="A511" s="269" t="s">
        <v>1013</v>
      </c>
      <c r="B511" s="270" t="s">
        <v>953</v>
      </c>
      <c r="C511" s="271">
        <v>50.160000000000004</v>
      </c>
    </row>
    <row r="512" spans="1:3">
      <c r="A512" s="269" t="s">
        <v>1014</v>
      </c>
      <c r="B512" s="270" t="s">
        <v>955</v>
      </c>
      <c r="C512" s="271">
        <v>54.78</v>
      </c>
    </row>
    <row r="513" spans="1:3">
      <c r="A513" s="269" t="s">
        <v>1015</v>
      </c>
      <c r="B513" s="270" t="s">
        <v>943</v>
      </c>
      <c r="C513" s="271">
        <v>32.505000000000003</v>
      </c>
    </row>
    <row r="514" spans="1:3">
      <c r="A514" s="269" t="s">
        <v>1016</v>
      </c>
      <c r="B514" s="270" t="s">
        <v>966</v>
      </c>
      <c r="C514" s="271">
        <v>33</v>
      </c>
    </row>
    <row r="515" spans="1:3">
      <c r="A515" s="269" t="s">
        <v>1017</v>
      </c>
      <c r="B515" s="270" t="s">
        <v>968</v>
      </c>
      <c r="C515" s="271">
        <v>35.145000000000003</v>
      </c>
    </row>
    <row r="516" spans="1:3">
      <c r="A516" s="269" t="s">
        <v>1018</v>
      </c>
      <c r="B516" s="270" t="s">
        <v>970</v>
      </c>
      <c r="C516" s="271">
        <v>36.465000000000003</v>
      </c>
    </row>
    <row r="517" spans="1:3">
      <c r="A517" s="269" t="s">
        <v>1019</v>
      </c>
      <c r="B517" s="270" t="s">
        <v>972</v>
      </c>
      <c r="C517" s="271">
        <v>39.6</v>
      </c>
    </row>
    <row r="518" spans="1:3">
      <c r="A518" s="269" t="s">
        <v>1020</v>
      </c>
      <c r="B518" s="270" t="s">
        <v>974</v>
      </c>
      <c r="C518" s="271">
        <v>42.24</v>
      </c>
    </row>
    <row r="519" spans="1:3">
      <c r="A519" s="269" t="s">
        <v>1021</v>
      </c>
      <c r="B519" s="270" t="s">
        <v>976</v>
      </c>
      <c r="C519" s="271">
        <v>47.685000000000002</v>
      </c>
    </row>
    <row r="520" spans="1:3">
      <c r="A520" s="269" t="s">
        <v>1022</v>
      </c>
      <c r="B520" s="270" t="s">
        <v>1023</v>
      </c>
      <c r="C520" s="271">
        <v>96.36</v>
      </c>
    </row>
    <row r="521" spans="1:3">
      <c r="A521" s="269" t="s">
        <v>1024</v>
      </c>
      <c r="B521" s="270" t="s">
        <v>1025</v>
      </c>
      <c r="C521" s="271">
        <v>419.43000000000006</v>
      </c>
    </row>
    <row r="522" spans="1:3">
      <c r="A522" s="269" t="s">
        <v>1026</v>
      </c>
      <c r="B522" s="270" t="s">
        <v>1027</v>
      </c>
      <c r="C522" s="271">
        <v>534.27</v>
      </c>
    </row>
    <row r="523" spans="1:3">
      <c r="A523" s="269" t="s">
        <v>1028</v>
      </c>
      <c r="B523" s="270" t="s">
        <v>1029</v>
      </c>
      <c r="C523" s="271">
        <v>534.27</v>
      </c>
    </row>
    <row r="524" spans="1:3">
      <c r="A524" s="269" t="s">
        <v>1030</v>
      </c>
      <c r="B524" s="270" t="s">
        <v>1031</v>
      </c>
      <c r="C524" s="271">
        <v>649.60500000000002</v>
      </c>
    </row>
    <row r="525" spans="1:3">
      <c r="A525" s="269" t="s">
        <v>1032</v>
      </c>
      <c r="B525" s="270" t="s">
        <v>1033</v>
      </c>
      <c r="C525" s="271">
        <v>649.60500000000002</v>
      </c>
    </row>
    <row r="526" spans="1:3">
      <c r="A526" s="269" t="s">
        <v>1034</v>
      </c>
      <c r="B526" s="270" t="s">
        <v>1035</v>
      </c>
      <c r="C526" s="271">
        <v>509.19</v>
      </c>
    </row>
    <row r="527" spans="1:3">
      <c r="A527" s="269" t="s">
        <v>1036</v>
      </c>
      <c r="B527" s="270" t="s">
        <v>1037</v>
      </c>
      <c r="C527" s="271">
        <v>1611.2250000000001</v>
      </c>
    </row>
    <row r="528" spans="1:3">
      <c r="A528" s="269" t="s">
        <v>1038</v>
      </c>
      <c r="B528" s="270" t="s">
        <v>1039</v>
      </c>
      <c r="C528" s="271">
        <v>589.54499999999996</v>
      </c>
    </row>
    <row r="529" spans="1:3">
      <c r="A529" s="269" t="s">
        <v>1040</v>
      </c>
      <c r="B529" s="270" t="s">
        <v>1041</v>
      </c>
      <c r="C529" s="271">
        <v>589.54499999999996</v>
      </c>
    </row>
    <row r="530" spans="1:3">
      <c r="A530" s="269" t="s">
        <v>1042</v>
      </c>
      <c r="B530" s="270" t="s">
        <v>1043</v>
      </c>
      <c r="C530" s="271">
        <v>695.80499999999995</v>
      </c>
    </row>
    <row r="531" spans="1:3">
      <c r="A531" s="269" t="s">
        <v>1044</v>
      </c>
      <c r="B531" s="270" t="s">
        <v>1045</v>
      </c>
      <c r="C531" s="271">
        <v>695.80499999999995</v>
      </c>
    </row>
    <row r="532" spans="1:3">
      <c r="A532" s="269" t="s">
        <v>1046</v>
      </c>
      <c r="B532" s="270" t="s">
        <v>1047</v>
      </c>
      <c r="C532" s="271">
        <v>1180.2450000000001</v>
      </c>
    </row>
    <row r="533" spans="1:3">
      <c r="A533" s="269" t="s">
        <v>1048</v>
      </c>
      <c r="B533" s="270" t="s">
        <v>1049</v>
      </c>
      <c r="C533" s="271">
        <v>1180.2450000000001</v>
      </c>
    </row>
    <row r="534" spans="1:3">
      <c r="A534" s="269" t="s">
        <v>1050</v>
      </c>
      <c r="B534" s="270" t="s">
        <v>1051</v>
      </c>
      <c r="C534" s="271">
        <v>72.105000000000004</v>
      </c>
    </row>
    <row r="535" spans="1:3">
      <c r="A535" s="269" t="s">
        <v>1052</v>
      </c>
      <c r="B535" s="270" t="s">
        <v>1053</v>
      </c>
      <c r="C535" s="271">
        <v>332.64</v>
      </c>
    </row>
    <row r="536" spans="1:3">
      <c r="A536" s="269" t="s">
        <v>1054</v>
      </c>
      <c r="B536" s="270" t="s">
        <v>1055</v>
      </c>
      <c r="C536" s="271">
        <v>235.95000000000002</v>
      </c>
    </row>
    <row r="537" spans="1:3">
      <c r="A537" s="269" t="s">
        <v>1056</v>
      </c>
      <c r="B537" s="270" t="s">
        <v>1057</v>
      </c>
      <c r="C537" s="271">
        <v>22.605000000000004</v>
      </c>
    </row>
    <row r="538" spans="1:3">
      <c r="A538" s="269" t="s">
        <v>1058</v>
      </c>
      <c r="B538" s="270" t="s">
        <v>1059</v>
      </c>
      <c r="C538" s="271">
        <v>221.10000000000002</v>
      </c>
    </row>
    <row r="539" spans="1:3">
      <c r="A539" s="269" t="s">
        <v>1060</v>
      </c>
      <c r="B539" s="270" t="s">
        <v>1061</v>
      </c>
      <c r="C539" s="271">
        <v>18.645</v>
      </c>
    </row>
    <row r="540" spans="1:3">
      <c r="A540" s="269" t="s">
        <v>1062</v>
      </c>
      <c r="B540" s="270" t="s">
        <v>1063</v>
      </c>
      <c r="C540" s="271">
        <v>94.050000000000011</v>
      </c>
    </row>
    <row r="541" spans="1:3">
      <c r="A541" s="269" t="s">
        <v>1064</v>
      </c>
      <c r="B541" s="270" t="s">
        <v>1065</v>
      </c>
      <c r="C541" s="271">
        <v>45.210000000000008</v>
      </c>
    </row>
    <row r="542" spans="1:3">
      <c r="A542" s="269" t="s">
        <v>1066</v>
      </c>
      <c r="B542" s="270" t="s">
        <v>1067</v>
      </c>
      <c r="C542" s="271">
        <v>12.045</v>
      </c>
    </row>
    <row r="543" spans="1:3" ht="28.8">
      <c r="A543" s="269" t="s">
        <v>1068</v>
      </c>
      <c r="B543" s="270" t="s">
        <v>1069</v>
      </c>
      <c r="C543" s="271">
        <v>25.41</v>
      </c>
    </row>
    <row r="544" spans="1:3">
      <c r="A544" s="269" t="s">
        <v>1070</v>
      </c>
      <c r="B544" s="270" t="s">
        <v>1071</v>
      </c>
      <c r="C544" s="271">
        <v>52.800000000000004</v>
      </c>
    </row>
    <row r="545" spans="1:3">
      <c r="A545" s="269" t="s">
        <v>1072</v>
      </c>
      <c r="B545" s="270" t="s">
        <v>1073</v>
      </c>
      <c r="C545" s="271">
        <v>58.410000000000004</v>
      </c>
    </row>
    <row r="546" spans="1:3">
      <c r="A546" s="269" t="s">
        <v>1074</v>
      </c>
      <c r="B546" s="270" t="s">
        <v>1075</v>
      </c>
      <c r="C546" s="271">
        <v>66.33</v>
      </c>
    </row>
    <row r="547" spans="1:3">
      <c r="A547" s="269" t="s">
        <v>1076</v>
      </c>
      <c r="B547" s="270" t="s">
        <v>1077</v>
      </c>
      <c r="C547" s="271">
        <v>70.95</v>
      </c>
    </row>
    <row r="548" spans="1:3">
      <c r="A548" s="269" t="s">
        <v>1078</v>
      </c>
      <c r="B548" s="270" t="s">
        <v>1079</v>
      </c>
      <c r="C548" s="271">
        <v>1341.1200000000001</v>
      </c>
    </row>
    <row r="549" spans="1:3">
      <c r="A549" s="269" t="s">
        <v>1080</v>
      </c>
      <c r="B549" s="270" t="s">
        <v>1081</v>
      </c>
      <c r="C549" s="271">
        <v>1341.1200000000001</v>
      </c>
    </row>
    <row r="550" spans="1:3">
      <c r="A550" s="269" t="s">
        <v>1082</v>
      </c>
      <c r="B550" s="270" t="s">
        <v>1083</v>
      </c>
      <c r="C550" s="271">
        <v>551.59500000000003</v>
      </c>
    </row>
    <row r="551" spans="1:3">
      <c r="A551" s="269" t="s">
        <v>1084</v>
      </c>
      <c r="B551" s="270" t="s">
        <v>1085</v>
      </c>
      <c r="C551" s="271">
        <v>646.96500000000003</v>
      </c>
    </row>
    <row r="552" spans="1:3">
      <c r="A552" s="269" t="s">
        <v>1086</v>
      </c>
      <c r="B552" s="270" t="s">
        <v>1087</v>
      </c>
      <c r="C552" s="271">
        <v>107.91</v>
      </c>
    </row>
    <row r="553" spans="1:3">
      <c r="A553" s="269" t="s">
        <v>1088</v>
      </c>
      <c r="B553" s="270" t="s">
        <v>1089</v>
      </c>
      <c r="C553" s="271">
        <v>76.725000000000009</v>
      </c>
    </row>
    <row r="554" spans="1:3">
      <c r="A554" s="269" t="s">
        <v>1090</v>
      </c>
      <c r="B554" s="270" t="s">
        <v>1091</v>
      </c>
      <c r="C554" s="271">
        <v>99.66</v>
      </c>
    </row>
    <row r="555" spans="1:3">
      <c r="A555" s="269" t="s">
        <v>1092</v>
      </c>
      <c r="B555" s="270" t="s">
        <v>1093</v>
      </c>
      <c r="C555" s="271">
        <v>93.06</v>
      </c>
    </row>
    <row r="556" spans="1:3">
      <c r="A556" s="269" t="s">
        <v>1094</v>
      </c>
      <c r="B556" s="270" t="s">
        <v>1095</v>
      </c>
      <c r="C556" s="271">
        <v>134.31</v>
      </c>
    </row>
    <row r="557" spans="1:3">
      <c r="A557" s="269" t="s">
        <v>1096</v>
      </c>
      <c r="B557" s="270" t="s">
        <v>1097</v>
      </c>
      <c r="C557" s="271">
        <v>155.43</v>
      </c>
    </row>
    <row r="558" spans="1:3">
      <c r="A558" s="269" t="s">
        <v>1098</v>
      </c>
      <c r="B558" s="270" t="s">
        <v>1099</v>
      </c>
      <c r="C558" s="271">
        <v>86.46</v>
      </c>
    </row>
    <row r="559" spans="1:3">
      <c r="A559" s="269" t="s">
        <v>1100</v>
      </c>
      <c r="B559" s="270" t="s">
        <v>1101</v>
      </c>
      <c r="C559" s="271">
        <v>230.67000000000002</v>
      </c>
    </row>
    <row r="560" spans="1:3">
      <c r="A560" s="269" t="s">
        <v>1102</v>
      </c>
      <c r="B560" s="270" t="s">
        <v>1103</v>
      </c>
      <c r="C560" s="271">
        <v>329.34</v>
      </c>
    </row>
    <row r="561" spans="1:3">
      <c r="A561" s="269" t="s">
        <v>1104</v>
      </c>
      <c r="B561" s="270" t="s">
        <v>1105</v>
      </c>
      <c r="C561" s="271">
        <v>242.88</v>
      </c>
    </row>
    <row r="562" spans="1:3">
      <c r="A562" s="269" t="s">
        <v>1106</v>
      </c>
      <c r="B562" s="270" t="s">
        <v>1107</v>
      </c>
      <c r="C562" s="271">
        <v>342.21</v>
      </c>
    </row>
    <row r="563" spans="1:3">
      <c r="A563" s="269" t="s">
        <v>1108</v>
      </c>
      <c r="B563" s="270" t="s">
        <v>1109</v>
      </c>
      <c r="C563" s="271">
        <v>249.64500000000001</v>
      </c>
    </row>
    <row r="564" spans="1:3">
      <c r="A564" s="269" t="s">
        <v>1110</v>
      </c>
      <c r="B564" s="270" t="s">
        <v>1111</v>
      </c>
      <c r="C564" s="271">
        <v>286.11</v>
      </c>
    </row>
    <row r="565" spans="1:3">
      <c r="A565" s="269" t="s">
        <v>1112</v>
      </c>
      <c r="B565" s="270" t="s">
        <v>1113</v>
      </c>
      <c r="C565" s="271">
        <v>254.76000000000002</v>
      </c>
    </row>
    <row r="566" spans="1:3">
      <c r="A566" s="269" t="s">
        <v>1114</v>
      </c>
      <c r="B566" s="270" t="s">
        <v>1115</v>
      </c>
      <c r="C566" s="271">
        <v>409.20000000000005</v>
      </c>
    </row>
    <row r="567" spans="1:3">
      <c r="A567" s="269" t="s">
        <v>1116</v>
      </c>
      <c r="B567" s="270" t="s">
        <v>1117</v>
      </c>
      <c r="C567" s="271">
        <v>266.97000000000003</v>
      </c>
    </row>
    <row r="568" spans="1:3">
      <c r="A568" s="269" t="s">
        <v>1118</v>
      </c>
      <c r="B568" s="270" t="s">
        <v>1119</v>
      </c>
      <c r="C568" s="271">
        <v>426.52500000000003</v>
      </c>
    </row>
    <row r="569" spans="1:3">
      <c r="A569" s="269" t="s">
        <v>1120</v>
      </c>
      <c r="B569" s="270" t="s">
        <v>1121</v>
      </c>
      <c r="C569" s="271">
        <v>274.72500000000002</v>
      </c>
    </row>
    <row r="570" spans="1:3">
      <c r="A570" s="269" t="s">
        <v>1122</v>
      </c>
      <c r="B570" s="270" t="s">
        <v>1123</v>
      </c>
      <c r="C570" s="271">
        <v>461.17500000000001</v>
      </c>
    </row>
    <row r="571" spans="1:3">
      <c r="A571" s="269" t="s">
        <v>536</v>
      </c>
      <c r="B571" s="270" t="s">
        <v>537</v>
      </c>
      <c r="C571" s="271">
        <v>426.52500000000003</v>
      </c>
    </row>
    <row r="572" spans="1:3">
      <c r="A572" s="269" t="s">
        <v>1124</v>
      </c>
      <c r="B572" s="270" t="s">
        <v>1125</v>
      </c>
      <c r="C572" s="271">
        <v>21.945</v>
      </c>
    </row>
    <row r="573" spans="1:3">
      <c r="A573" s="269" t="s">
        <v>246</v>
      </c>
      <c r="B573" s="270" t="s">
        <v>247</v>
      </c>
      <c r="C573" s="271">
        <v>616.11000000000013</v>
      </c>
    </row>
    <row r="574" spans="1:3">
      <c r="A574" s="269" t="s">
        <v>255</v>
      </c>
      <c r="B574" s="270" t="s">
        <v>247</v>
      </c>
      <c r="C574" s="271">
        <v>550.77</v>
      </c>
    </row>
    <row r="575" spans="1:3">
      <c r="A575" s="269" t="s">
        <v>490</v>
      </c>
      <c r="B575" s="270" t="s">
        <v>491</v>
      </c>
      <c r="C575" s="271">
        <v>580.30499999999995</v>
      </c>
    </row>
    <row r="576" spans="1:3">
      <c r="A576" s="269" t="s">
        <v>510</v>
      </c>
      <c r="B576" s="270" t="s">
        <v>511</v>
      </c>
      <c r="C576" s="271">
        <v>575.68500000000006</v>
      </c>
    </row>
    <row r="577" spans="1:3">
      <c r="A577" s="269" t="s">
        <v>512</v>
      </c>
      <c r="B577" s="270" t="s">
        <v>513</v>
      </c>
      <c r="C577" s="271">
        <v>575.68500000000006</v>
      </c>
    </row>
    <row r="578" spans="1:3">
      <c r="A578" s="269" t="s">
        <v>514</v>
      </c>
      <c r="B578" s="270" t="s">
        <v>515</v>
      </c>
      <c r="C578" s="271">
        <v>612.70000000000005</v>
      </c>
    </row>
    <row r="579" spans="1:3">
      <c r="A579" s="269" t="s">
        <v>657</v>
      </c>
      <c r="B579" s="270" t="s">
        <v>658</v>
      </c>
      <c r="C579" s="271"/>
    </row>
    <row r="580" spans="1:3">
      <c r="A580" s="269" t="s">
        <v>659</v>
      </c>
      <c r="B580" s="270" t="s">
        <v>660</v>
      </c>
      <c r="C580" s="271"/>
    </row>
    <row r="581" spans="1:3">
      <c r="A581" s="269" t="s">
        <v>661</v>
      </c>
      <c r="B581" s="270" t="s">
        <v>662</v>
      </c>
      <c r="C581" s="271"/>
    </row>
    <row r="582" spans="1:3">
      <c r="A582" s="269" t="s">
        <v>663</v>
      </c>
      <c r="B582" s="270" t="s">
        <v>664</v>
      </c>
      <c r="C582" s="271"/>
    </row>
    <row r="583" spans="1:3">
      <c r="A583" s="269" t="s">
        <v>665</v>
      </c>
      <c r="B583" s="270" t="s">
        <v>666</v>
      </c>
      <c r="C583" s="271"/>
    </row>
    <row r="584" spans="1:3">
      <c r="A584" s="269" t="s">
        <v>703</v>
      </c>
      <c r="B584" s="270" t="s">
        <v>704</v>
      </c>
      <c r="C584" s="271">
        <v>194.86500000000001</v>
      </c>
    </row>
    <row r="585" spans="1:3">
      <c r="A585" s="269" t="s">
        <v>705</v>
      </c>
      <c r="B585" s="270" t="s">
        <v>706</v>
      </c>
      <c r="C585" s="271">
        <v>226.05</v>
      </c>
    </row>
    <row r="586" spans="1:3">
      <c r="A586" s="269" t="s">
        <v>723</v>
      </c>
      <c r="B586" s="270" t="s">
        <v>724</v>
      </c>
      <c r="C586" s="271">
        <v>104.28</v>
      </c>
    </row>
    <row r="587" spans="1:3">
      <c r="A587" s="269" t="s">
        <v>670</v>
      </c>
      <c r="B587" s="270" t="s">
        <v>671</v>
      </c>
      <c r="C587" s="271">
        <v>662.80499999999995</v>
      </c>
    </row>
    <row r="588" spans="1:3">
      <c r="A588" s="269" t="s">
        <v>1126</v>
      </c>
      <c r="B588" s="270" t="s">
        <v>1127</v>
      </c>
      <c r="C588" s="271">
        <v>669.90000000000009</v>
      </c>
    </row>
    <row r="589" spans="1:3">
      <c r="A589" s="269" t="s">
        <v>749</v>
      </c>
      <c r="B589" s="270" t="s">
        <v>1701</v>
      </c>
      <c r="C589" s="271">
        <v>149.16</v>
      </c>
    </row>
    <row r="590" spans="1:3">
      <c r="A590" s="269" t="s">
        <v>751</v>
      </c>
      <c r="B590" s="270" t="s">
        <v>1702</v>
      </c>
      <c r="C590" s="271">
        <v>156.09000000000003</v>
      </c>
    </row>
    <row r="591" spans="1:3">
      <c r="A591" s="269" t="s">
        <v>753</v>
      </c>
      <c r="B591" s="270" t="s">
        <v>1703</v>
      </c>
      <c r="C591" s="271">
        <v>194.20499999999998</v>
      </c>
    </row>
    <row r="592" spans="1:3">
      <c r="A592" s="269" t="s">
        <v>755</v>
      </c>
      <c r="B592" s="270" t="s">
        <v>1704</v>
      </c>
      <c r="C592" s="271">
        <v>196.51500000000001</v>
      </c>
    </row>
    <row r="593" spans="1:3">
      <c r="A593" s="269" t="s">
        <v>757</v>
      </c>
      <c r="B593" s="270" t="s">
        <v>1705</v>
      </c>
      <c r="C593" s="271">
        <v>298.15500000000003</v>
      </c>
    </row>
    <row r="594" spans="1:3">
      <c r="A594" s="269" t="s">
        <v>759</v>
      </c>
      <c r="B594" s="270" t="s">
        <v>1706</v>
      </c>
      <c r="C594" s="271">
        <v>353.59500000000003</v>
      </c>
    </row>
    <row r="595" spans="1:3">
      <c r="A595" s="269" t="s">
        <v>761</v>
      </c>
      <c r="B595" s="270" t="s">
        <v>1708</v>
      </c>
      <c r="C595" s="271">
        <v>412.50000000000006</v>
      </c>
    </row>
    <row r="596" spans="1:3">
      <c r="A596" s="269" t="s">
        <v>786</v>
      </c>
      <c r="B596" s="270" t="s">
        <v>724</v>
      </c>
      <c r="C596" s="271">
        <v>260.04000000000002</v>
      </c>
    </row>
    <row r="597" spans="1:3">
      <c r="A597" s="269" t="s">
        <v>787</v>
      </c>
      <c r="B597" s="270" t="s">
        <v>788</v>
      </c>
      <c r="C597" s="271">
        <v>168.13500000000002</v>
      </c>
    </row>
    <row r="598" spans="1:3">
      <c r="A598" s="269" t="s">
        <v>789</v>
      </c>
      <c r="B598" s="270" t="s">
        <v>790</v>
      </c>
      <c r="C598" s="271">
        <v>520.08000000000004</v>
      </c>
    </row>
    <row r="599" spans="1:3">
      <c r="A599" s="269" t="s">
        <v>793</v>
      </c>
      <c r="B599" s="270" t="s">
        <v>794</v>
      </c>
      <c r="C599" s="271">
        <v>520.08000000000004</v>
      </c>
    </row>
    <row r="600" spans="1:3">
      <c r="A600" s="269" t="s">
        <v>797</v>
      </c>
      <c r="B600" s="270" t="s">
        <v>798</v>
      </c>
      <c r="C600" s="271">
        <v>552.75</v>
      </c>
    </row>
    <row r="601" spans="1:3">
      <c r="A601" s="269" t="s">
        <v>799</v>
      </c>
      <c r="B601" s="270" t="s">
        <v>800</v>
      </c>
      <c r="C601" s="271">
        <v>252.94500000000002</v>
      </c>
    </row>
    <row r="602" spans="1:3">
      <c r="A602" s="269" t="s">
        <v>801</v>
      </c>
      <c r="B602" s="270" t="s">
        <v>802</v>
      </c>
      <c r="C602" s="271">
        <v>340.56</v>
      </c>
    </row>
    <row r="603" spans="1:3">
      <c r="A603" s="269" t="s">
        <v>803</v>
      </c>
      <c r="B603" s="270" t="s">
        <v>804</v>
      </c>
      <c r="C603" s="271">
        <v>384.94499999999999</v>
      </c>
    </row>
    <row r="604" spans="1:3">
      <c r="A604" s="269" t="s">
        <v>805</v>
      </c>
      <c r="B604" s="270" t="s">
        <v>806</v>
      </c>
      <c r="C604" s="271">
        <v>355.57500000000005</v>
      </c>
    </row>
    <row r="605" spans="1:3">
      <c r="A605" s="269" t="s">
        <v>807</v>
      </c>
      <c r="B605" s="270" t="s">
        <v>808</v>
      </c>
      <c r="C605" s="271">
        <v>474.87</v>
      </c>
    </row>
    <row r="606" spans="1:3">
      <c r="A606" s="269" t="s">
        <v>809</v>
      </c>
      <c r="B606" s="270" t="s">
        <v>810</v>
      </c>
      <c r="C606" s="271">
        <v>644.98500000000013</v>
      </c>
    </row>
    <row r="607" spans="1:3">
      <c r="A607" s="269" t="s">
        <v>811</v>
      </c>
      <c r="B607" s="270" t="s">
        <v>812</v>
      </c>
      <c r="C607" s="271">
        <v>726.66000000000008</v>
      </c>
    </row>
    <row r="608" spans="1:3" ht="28.8">
      <c r="A608" s="269" t="s">
        <v>813</v>
      </c>
      <c r="B608" s="270" t="s">
        <v>814</v>
      </c>
      <c r="C608" s="271">
        <v>561</v>
      </c>
    </row>
    <row r="609" spans="1:3" ht="28.8">
      <c r="A609" s="269" t="s">
        <v>815</v>
      </c>
      <c r="B609" s="270" t="s">
        <v>816</v>
      </c>
      <c r="C609" s="271">
        <v>561</v>
      </c>
    </row>
    <row r="610" spans="1:3" ht="28.8">
      <c r="A610" s="269" t="s">
        <v>817</v>
      </c>
      <c r="B610" s="270" t="s">
        <v>816</v>
      </c>
      <c r="C610" s="271">
        <v>561</v>
      </c>
    </row>
    <row r="611" spans="1:3">
      <c r="A611" s="269" t="s">
        <v>818</v>
      </c>
      <c r="B611" s="270" t="s">
        <v>819</v>
      </c>
      <c r="C611" s="271">
        <v>627.66000000000008</v>
      </c>
    </row>
    <row r="612" spans="1:3">
      <c r="A612" s="269" t="s">
        <v>822</v>
      </c>
      <c r="B612" s="270" t="s">
        <v>823</v>
      </c>
      <c r="C612" s="271">
        <v>200.80500000000001</v>
      </c>
    </row>
    <row r="613" spans="1:3">
      <c r="A613" s="269" t="s">
        <v>822</v>
      </c>
      <c r="B613" s="270" t="s">
        <v>823</v>
      </c>
      <c r="C613" s="271">
        <v>200.80500000000001</v>
      </c>
    </row>
    <row r="614" spans="1:3">
      <c r="A614" s="269" t="s">
        <v>824</v>
      </c>
      <c r="B614" s="270" t="s">
        <v>825</v>
      </c>
      <c r="C614" s="271">
        <v>339.73500000000001</v>
      </c>
    </row>
    <row r="615" spans="1:3">
      <c r="A615" s="269" t="s">
        <v>826</v>
      </c>
      <c r="B615" s="270" t="s">
        <v>827</v>
      </c>
      <c r="C615" s="271">
        <v>380.98500000000001</v>
      </c>
    </row>
    <row r="616" spans="1:3">
      <c r="A616" s="269" t="s">
        <v>828</v>
      </c>
      <c r="B616" s="270" t="s">
        <v>829</v>
      </c>
      <c r="C616" s="271">
        <v>470.41500000000002</v>
      </c>
    </row>
    <row r="617" spans="1:3">
      <c r="A617" s="269" t="s">
        <v>836</v>
      </c>
      <c r="B617" s="270" t="s">
        <v>837</v>
      </c>
      <c r="C617" s="271">
        <v>496.32000000000005</v>
      </c>
    </row>
    <row r="618" spans="1:3">
      <c r="A618" s="269" t="s">
        <v>846</v>
      </c>
      <c r="B618" s="270" t="s">
        <v>1128</v>
      </c>
      <c r="C618" s="271">
        <v>765.93000000000006</v>
      </c>
    </row>
    <row r="619" spans="1:3">
      <c r="A619" s="269" t="s">
        <v>848</v>
      </c>
      <c r="B619" s="270" t="s">
        <v>849</v>
      </c>
      <c r="C619" s="271">
        <v>765.93000000000006</v>
      </c>
    </row>
    <row r="620" spans="1:3">
      <c r="A620" s="269" t="s">
        <v>851</v>
      </c>
      <c r="B620" s="270" t="s">
        <v>1129</v>
      </c>
      <c r="C620" s="271">
        <v>863.77500000000009</v>
      </c>
    </row>
    <row r="621" spans="1:3">
      <c r="A621" s="269" t="s">
        <v>852</v>
      </c>
      <c r="B621" s="270" t="s">
        <v>853</v>
      </c>
      <c r="C621" s="271">
        <v>863.77500000000009</v>
      </c>
    </row>
    <row r="622" spans="1:3">
      <c r="A622" s="269" t="s">
        <v>865</v>
      </c>
      <c r="B622" s="270" t="s">
        <v>1130</v>
      </c>
      <c r="C622" s="271">
        <v>1466.8500000000001</v>
      </c>
    </row>
    <row r="623" spans="1:3">
      <c r="A623" s="269" t="s">
        <v>867</v>
      </c>
      <c r="B623" s="270" t="s">
        <v>1130</v>
      </c>
      <c r="C623" s="271">
        <v>1494.9</v>
      </c>
    </row>
    <row r="624" spans="1:3">
      <c r="A624" s="269" t="s">
        <v>870</v>
      </c>
      <c r="B624" s="270" t="s">
        <v>871</v>
      </c>
      <c r="C624" s="271">
        <v>504.90000000000003</v>
      </c>
    </row>
    <row r="625" spans="1:3">
      <c r="A625" s="269" t="s">
        <v>882</v>
      </c>
      <c r="B625" s="270" t="s">
        <v>883</v>
      </c>
      <c r="C625" s="271">
        <v>572.22</v>
      </c>
    </row>
    <row r="626" spans="1:3">
      <c r="A626" s="269" t="s">
        <v>884</v>
      </c>
      <c r="B626" s="270" t="s">
        <v>885</v>
      </c>
      <c r="C626" s="271">
        <v>709.83</v>
      </c>
    </row>
    <row r="627" spans="1:3">
      <c r="A627" s="269" t="s">
        <v>886</v>
      </c>
      <c r="B627" s="270" t="s">
        <v>887</v>
      </c>
      <c r="C627" s="271">
        <v>797.77500000000009</v>
      </c>
    </row>
    <row r="628" spans="1:3">
      <c r="A628" s="269" t="s">
        <v>888</v>
      </c>
      <c r="B628" s="270" t="s">
        <v>837</v>
      </c>
      <c r="C628" s="271">
        <v>783.58500000000004</v>
      </c>
    </row>
    <row r="629" spans="1:3">
      <c r="A629" s="269" t="s">
        <v>932</v>
      </c>
      <c r="B629" s="270" t="s">
        <v>933</v>
      </c>
      <c r="C629" s="271">
        <v>149.16</v>
      </c>
    </row>
    <row r="630" spans="1:3">
      <c r="A630" s="269" t="s">
        <v>993</v>
      </c>
      <c r="B630" s="270" t="s">
        <v>994</v>
      </c>
      <c r="C630" s="271">
        <v>152.29499999999999</v>
      </c>
    </row>
    <row r="631" spans="1:3">
      <c r="A631" s="269" t="s">
        <v>1131</v>
      </c>
      <c r="B631" s="270" t="s">
        <v>1132</v>
      </c>
      <c r="C631" s="271">
        <v>537.24</v>
      </c>
    </row>
    <row r="632" spans="1:3">
      <c r="A632" s="269" t="s">
        <v>1133</v>
      </c>
      <c r="B632" s="270" t="s">
        <v>658</v>
      </c>
      <c r="C632" s="271">
        <v>38.610000000000007</v>
      </c>
    </row>
    <row r="633" spans="1:3">
      <c r="A633" s="269" t="s">
        <v>1134</v>
      </c>
      <c r="B633" s="270" t="s">
        <v>660</v>
      </c>
      <c r="C633" s="271">
        <v>40.92</v>
      </c>
    </row>
    <row r="634" spans="1:3">
      <c r="A634" s="269" t="s">
        <v>1135</v>
      </c>
      <c r="B634" s="270" t="s">
        <v>662</v>
      </c>
      <c r="C634" s="271">
        <v>46.365000000000002</v>
      </c>
    </row>
    <row r="635" spans="1:3">
      <c r="A635" s="269" t="s">
        <v>1136</v>
      </c>
      <c r="B635" s="270" t="s">
        <v>664</v>
      </c>
      <c r="C635" s="271">
        <v>50.82</v>
      </c>
    </row>
    <row r="636" spans="1:3">
      <c r="A636" s="269" t="s">
        <v>1137</v>
      </c>
      <c r="B636" s="270" t="s">
        <v>666</v>
      </c>
      <c r="C636" s="271">
        <v>51.150000000000006</v>
      </c>
    </row>
    <row r="637" spans="1:3">
      <c r="A637" s="269" t="s">
        <v>1138</v>
      </c>
      <c r="B637" s="270" t="s">
        <v>1139</v>
      </c>
      <c r="C637" s="271">
        <v>84.139978999999997</v>
      </c>
    </row>
    <row r="638" spans="1:3">
      <c r="A638" s="269" t="s">
        <v>1140</v>
      </c>
      <c r="B638" s="270" t="s">
        <v>1141</v>
      </c>
      <c r="C638" s="271">
        <v>84.139978999999997</v>
      </c>
    </row>
    <row r="639" spans="1:3">
      <c r="A639" s="269" t="s">
        <v>1142</v>
      </c>
      <c r="B639" s="270" t="s">
        <v>1143</v>
      </c>
      <c r="C639" s="271">
        <v>207.33911330000007</v>
      </c>
    </row>
    <row r="640" spans="1:3">
      <c r="A640" s="269" t="s">
        <v>1144</v>
      </c>
      <c r="B640" s="270" t="s">
        <v>1145</v>
      </c>
      <c r="C640" s="271">
        <v>193.42859250000004</v>
      </c>
    </row>
    <row r="641" spans="1:3">
      <c r="A641" s="269" t="s">
        <v>1146</v>
      </c>
      <c r="B641" s="270" t="s">
        <v>1147</v>
      </c>
      <c r="C641" s="271">
        <v>207.33911330000007</v>
      </c>
    </row>
    <row r="642" spans="1:3">
      <c r="A642" s="269" t="s">
        <v>1148</v>
      </c>
      <c r="B642" s="270" t="s">
        <v>1149</v>
      </c>
      <c r="C642" s="271">
        <v>193.42859250000004</v>
      </c>
    </row>
    <row r="643" spans="1:3">
      <c r="A643" s="269" t="s">
        <v>1150</v>
      </c>
      <c r="B643" s="270" t="s">
        <v>1151</v>
      </c>
      <c r="C643" s="271">
        <v>207.33911330000007</v>
      </c>
    </row>
    <row r="644" spans="1:3">
      <c r="A644" s="269" t="s">
        <v>1152</v>
      </c>
      <c r="B644" s="270" t="s">
        <v>1153</v>
      </c>
      <c r="C644" s="271">
        <v>193.42859250000004</v>
      </c>
    </row>
    <row r="645" spans="1:3">
      <c r="A645" s="269" t="s">
        <v>1154</v>
      </c>
      <c r="B645" s="270" t="s">
        <v>1155</v>
      </c>
      <c r="C645" s="271">
        <v>207.33911330000007</v>
      </c>
    </row>
    <row r="646" spans="1:3">
      <c r="A646" s="269" t="s">
        <v>1156</v>
      </c>
      <c r="B646" s="270" t="s">
        <v>1157</v>
      </c>
      <c r="C646" s="271">
        <v>193.42859250000004</v>
      </c>
    </row>
    <row r="647" spans="1:3">
      <c r="A647" s="269" t="s">
        <v>1158</v>
      </c>
      <c r="B647" s="270" t="s">
        <v>1159</v>
      </c>
      <c r="C647" s="271">
        <v>219.82466000000005</v>
      </c>
    </row>
    <row r="648" spans="1:3">
      <c r="A648" s="269" t="s">
        <v>1160</v>
      </c>
      <c r="B648" s="270" t="s">
        <v>1161</v>
      </c>
      <c r="C648" s="271">
        <v>207.72422000000003</v>
      </c>
    </row>
    <row r="649" spans="1:3">
      <c r="A649" s="269" t="s">
        <v>1162</v>
      </c>
      <c r="B649" s="270" t="s">
        <v>1163</v>
      </c>
      <c r="C649" s="271">
        <v>364.11855480000008</v>
      </c>
    </row>
    <row r="650" spans="1:3">
      <c r="A650" s="269" t="s">
        <v>1164</v>
      </c>
      <c r="B650" s="270" t="s">
        <v>1165</v>
      </c>
      <c r="C650" s="271">
        <v>114.01379</v>
      </c>
    </row>
    <row r="651" spans="1:3">
      <c r="A651" s="269" t="s">
        <v>1166</v>
      </c>
      <c r="B651" s="270" t="s">
        <v>1167</v>
      </c>
      <c r="C651" s="271">
        <v>114.01379</v>
      </c>
    </row>
    <row r="652" spans="1:3">
      <c r="A652" s="269" t="s">
        <v>1168</v>
      </c>
      <c r="B652" s="270" t="s">
        <v>1169</v>
      </c>
      <c r="C652" s="271">
        <v>114.01379</v>
      </c>
    </row>
    <row r="653" spans="1:3">
      <c r="A653" s="269" t="s">
        <v>1174</v>
      </c>
      <c r="B653" s="270" t="s">
        <v>1175</v>
      </c>
      <c r="C653" s="271">
        <v>46.096105000000009</v>
      </c>
    </row>
    <row r="654" spans="1:3">
      <c r="A654" s="269" t="s">
        <v>1176</v>
      </c>
      <c r="B654" s="270" t="s">
        <v>1713</v>
      </c>
      <c r="C654" s="271">
        <v>18.128000000000004</v>
      </c>
    </row>
    <row r="655" spans="1:3">
      <c r="A655" s="269" t="s">
        <v>1177</v>
      </c>
      <c r="B655" s="270" t="s">
        <v>1714</v>
      </c>
      <c r="C655" s="271">
        <v>101.97000000000001</v>
      </c>
    </row>
    <row r="656" spans="1:3">
      <c r="A656" s="269" t="s">
        <v>1715</v>
      </c>
      <c r="B656" s="270" t="s">
        <v>1716</v>
      </c>
      <c r="C656" s="271">
        <v>453.20000000000005</v>
      </c>
    </row>
    <row r="657" spans="1:3">
      <c r="A657" s="269" t="s">
        <v>1179</v>
      </c>
      <c r="B657" s="270" t="s">
        <v>1180</v>
      </c>
      <c r="C657" s="271">
        <v>312.75332000000009</v>
      </c>
    </row>
    <row r="658" spans="1:3">
      <c r="A658" s="269" t="s">
        <v>1181</v>
      </c>
      <c r="B658" s="270" t="s">
        <v>1182</v>
      </c>
      <c r="C658" s="271">
        <v>312.75332000000009</v>
      </c>
    </row>
    <row r="659" spans="1:3">
      <c r="A659" s="269" t="s">
        <v>1183</v>
      </c>
      <c r="B659" s="270" t="s">
        <v>1184</v>
      </c>
      <c r="C659" s="271">
        <v>312.75332000000009</v>
      </c>
    </row>
    <row r="660" spans="1:3">
      <c r="A660" s="269" t="s">
        <v>1185</v>
      </c>
      <c r="B660" s="270" t="s">
        <v>1186</v>
      </c>
      <c r="C660" s="271">
        <v>312.75332000000009</v>
      </c>
    </row>
    <row r="661" spans="1:3">
      <c r="A661" s="269" t="s">
        <v>1187</v>
      </c>
      <c r="B661" s="270" t="s">
        <v>1188</v>
      </c>
      <c r="C661" s="271">
        <v>523.92016050000007</v>
      </c>
    </row>
    <row r="662" spans="1:3">
      <c r="A662" s="269" t="s">
        <v>1189</v>
      </c>
      <c r="B662" s="270" t="s">
        <v>1190</v>
      </c>
      <c r="C662" s="271">
        <v>312.75332000000009</v>
      </c>
    </row>
    <row r="663" spans="1:3">
      <c r="A663" s="269" t="s">
        <v>1191</v>
      </c>
      <c r="B663" s="270" t="s">
        <v>1192</v>
      </c>
      <c r="C663" s="271">
        <v>523.92016050000007</v>
      </c>
    </row>
    <row r="664" spans="1:3">
      <c r="A664" s="269" t="s">
        <v>1193</v>
      </c>
      <c r="B664" s="270" t="s">
        <v>1194</v>
      </c>
      <c r="C664" s="271">
        <v>11549.700030000002</v>
      </c>
    </row>
    <row r="665" spans="1:3">
      <c r="A665" s="269" t="s">
        <v>1195</v>
      </c>
      <c r="B665" s="270" t="s">
        <v>1196</v>
      </c>
      <c r="C665" s="271">
        <v>312.75332000000009</v>
      </c>
    </row>
    <row r="666" spans="1:3">
      <c r="A666" s="269" t="s">
        <v>1197</v>
      </c>
      <c r="B666" s="270" t="s">
        <v>1198</v>
      </c>
      <c r="C666" s="271">
        <v>312.75332000000009</v>
      </c>
    </row>
    <row r="667" spans="1:3">
      <c r="A667" s="269" t="s">
        <v>1199</v>
      </c>
      <c r="B667" s="270" t="s">
        <v>1200</v>
      </c>
      <c r="C667" s="271">
        <v>523.92016050000007</v>
      </c>
    </row>
    <row r="668" spans="1:3">
      <c r="A668" s="269" t="s">
        <v>1201</v>
      </c>
      <c r="B668" s="270" t="s">
        <v>1202</v>
      </c>
      <c r="C668" s="271">
        <v>312.75332000000009</v>
      </c>
    </row>
    <row r="669" spans="1:3">
      <c r="A669" s="269" t="s">
        <v>1203</v>
      </c>
      <c r="B669" s="270" t="s">
        <v>1204</v>
      </c>
      <c r="C669" s="271">
        <v>523.92016050000007</v>
      </c>
    </row>
    <row r="670" spans="1:3">
      <c r="A670" s="269" t="s">
        <v>1205</v>
      </c>
      <c r="B670" s="270" t="s">
        <v>1206</v>
      </c>
      <c r="C670" s="271">
        <v>1451.5459241250003</v>
      </c>
    </row>
    <row r="671" spans="1:3">
      <c r="A671" s="269" t="s">
        <v>1207</v>
      </c>
      <c r="B671" s="270" t="s">
        <v>1208</v>
      </c>
      <c r="C671" s="271">
        <v>2321.7557797499999</v>
      </c>
    </row>
    <row r="672" spans="1:3">
      <c r="A672" s="269" t="s">
        <v>1209</v>
      </c>
      <c r="B672" s="270" t="s">
        <v>1210</v>
      </c>
      <c r="C672" s="271">
        <v>1854.0553625</v>
      </c>
    </row>
    <row r="673" spans="1:3">
      <c r="A673" s="269" t="s">
        <v>1211</v>
      </c>
      <c r="B673" s="270" t="s">
        <v>1212</v>
      </c>
      <c r="C673" s="271">
        <v>2517.3287163750001</v>
      </c>
    </row>
    <row r="674" spans="1:3">
      <c r="A674" s="269" t="s">
        <v>1213</v>
      </c>
      <c r="B674" s="270" t="s">
        <v>1214</v>
      </c>
      <c r="C674" s="271">
        <v>1451.5459241250003</v>
      </c>
    </row>
    <row r="675" spans="1:3">
      <c r="A675" s="269" t="s">
        <v>1215</v>
      </c>
      <c r="B675" s="270" t="s">
        <v>1216</v>
      </c>
      <c r="C675" s="271">
        <v>2321.7557797499999</v>
      </c>
    </row>
    <row r="676" spans="1:3">
      <c r="A676" s="269" t="s">
        <v>1217</v>
      </c>
      <c r="B676" s="270" t="s">
        <v>1218</v>
      </c>
      <c r="C676" s="271">
        <v>1854.0553625</v>
      </c>
    </row>
    <row r="677" spans="1:3">
      <c r="A677" s="269" t="s">
        <v>1219</v>
      </c>
      <c r="B677" s="270" t="s">
        <v>1220</v>
      </c>
      <c r="C677" s="271">
        <v>2517.3287163750001</v>
      </c>
    </row>
    <row r="678" spans="1:3">
      <c r="A678" s="269" t="s">
        <v>1595</v>
      </c>
      <c r="B678" s="270" t="s">
        <v>1596</v>
      </c>
      <c r="C678" s="271">
        <v>103.62871200000001</v>
      </c>
    </row>
    <row r="679" spans="1:3">
      <c r="A679" s="269" t="s">
        <v>1597</v>
      </c>
      <c r="B679" s="270" t="s">
        <v>1598</v>
      </c>
      <c r="C679" s="271">
        <v>103.62871200000001</v>
      </c>
    </row>
    <row r="680" spans="1:3">
      <c r="A680" s="269" t="s">
        <v>1599</v>
      </c>
      <c r="B680" s="270" t="s">
        <v>1600</v>
      </c>
      <c r="C680" s="271">
        <v>648.64250000000015</v>
      </c>
    </row>
    <row r="681" spans="1:3">
      <c r="A681" s="269" t="s">
        <v>1601</v>
      </c>
      <c r="B681" s="270" t="s">
        <v>1602</v>
      </c>
      <c r="C681" s="271">
        <v>648.64250000000015</v>
      </c>
    </row>
    <row r="682" spans="1:3">
      <c r="A682" s="269" t="s">
        <v>1603</v>
      </c>
      <c r="B682" s="270" t="s">
        <v>1604</v>
      </c>
      <c r="C682" s="271">
        <v>648.64250000000015</v>
      </c>
    </row>
    <row r="683" spans="1:3">
      <c r="A683" s="269" t="s">
        <v>1605</v>
      </c>
      <c r="B683" s="270" t="s">
        <v>1606</v>
      </c>
      <c r="C683" s="271">
        <v>648.64250000000015</v>
      </c>
    </row>
    <row r="684" spans="1:3">
      <c r="A684" s="269" t="s">
        <v>1607</v>
      </c>
      <c r="B684" s="270" t="s">
        <v>1608</v>
      </c>
      <c r="C684" s="271">
        <v>648.64250000000015</v>
      </c>
    </row>
    <row r="685" spans="1:3">
      <c r="A685" s="269" t="s">
        <v>1609</v>
      </c>
      <c r="B685" s="270" t="s">
        <v>1610</v>
      </c>
      <c r="C685" s="271">
        <v>648.64250000000015</v>
      </c>
    </row>
    <row r="686" spans="1:3">
      <c r="A686" s="269" t="s">
        <v>1611</v>
      </c>
      <c r="B686" s="270" t="s">
        <v>1612</v>
      </c>
      <c r="C686" s="271">
        <v>18.495092000000007</v>
      </c>
    </row>
    <row r="687" spans="1:3">
      <c r="A687" s="269" t="s">
        <v>1613</v>
      </c>
      <c r="B687" s="270" t="s">
        <v>1614</v>
      </c>
      <c r="C687" s="271">
        <v>18.495092000000007</v>
      </c>
    </row>
    <row r="688" spans="1:3">
      <c r="A688" s="269" t="s">
        <v>1615</v>
      </c>
      <c r="B688" s="270" t="s">
        <v>1616</v>
      </c>
      <c r="C688" s="271">
        <v>18.495092000000007</v>
      </c>
    </row>
    <row r="689" spans="1:3">
      <c r="A689" s="269" t="s">
        <v>1617</v>
      </c>
      <c r="B689" s="270" t="s">
        <v>1618</v>
      </c>
      <c r="C689" s="271">
        <v>18.495092000000007</v>
      </c>
    </row>
    <row r="690" spans="1:3">
      <c r="A690" s="269" t="s">
        <v>1619</v>
      </c>
      <c r="B690" s="270" t="s">
        <v>1620</v>
      </c>
      <c r="C690" s="271">
        <v>18.495092000000007</v>
      </c>
    </row>
    <row r="691" spans="1:3">
      <c r="A691" s="269" t="s">
        <v>1621</v>
      </c>
      <c r="B691" s="270" t="s">
        <v>1622</v>
      </c>
      <c r="C691" s="271">
        <v>303.80262000000005</v>
      </c>
    </row>
    <row r="692" spans="1:3">
      <c r="A692" s="269" t="s">
        <v>1639</v>
      </c>
      <c r="B692" s="270" t="s">
        <v>1640</v>
      </c>
      <c r="C692" s="271">
        <v>69.824977200000006</v>
      </c>
    </row>
    <row r="693" spans="1:3">
      <c r="A693" s="269" t="s">
        <v>1717</v>
      </c>
      <c r="B693" s="270" t="s">
        <v>1718</v>
      </c>
      <c r="C693" s="271">
        <v>69.824977200000006</v>
      </c>
    </row>
    <row r="694" spans="1:3">
      <c r="A694" s="269" t="s">
        <v>1641</v>
      </c>
      <c r="B694" s="270" t="s">
        <v>1642</v>
      </c>
      <c r="C694" s="271">
        <v>69.824977200000006</v>
      </c>
    </row>
    <row r="695" spans="1:3">
      <c r="A695" s="269" t="s">
        <v>1643</v>
      </c>
      <c r="B695" s="270" t="s">
        <v>1644</v>
      </c>
      <c r="C695" s="271">
        <v>69.824977200000006</v>
      </c>
    </row>
    <row r="696" spans="1:3">
      <c r="A696" s="269" t="s">
        <v>1645</v>
      </c>
      <c r="B696" s="270" t="s">
        <v>1646</v>
      </c>
      <c r="C696" s="271">
        <v>265.82491320000003</v>
      </c>
    </row>
    <row r="697" spans="1:3">
      <c r="A697" s="269" t="s">
        <v>1719</v>
      </c>
      <c r="B697" s="270" t="s">
        <v>1720</v>
      </c>
      <c r="C697" s="271">
        <v>265.82491320000003</v>
      </c>
    </row>
    <row r="698" spans="1:3">
      <c r="A698" s="269" t="s">
        <v>1647</v>
      </c>
      <c r="B698" s="270" t="s">
        <v>1648</v>
      </c>
      <c r="C698" s="271">
        <v>265.82491320000003</v>
      </c>
    </row>
    <row r="699" spans="1:3">
      <c r="A699" s="269" t="s">
        <v>1649</v>
      </c>
      <c r="B699" s="270" t="s">
        <v>1650</v>
      </c>
      <c r="C699" s="271">
        <v>265.82491320000003</v>
      </c>
    </row>
    <row r="700" spans="1:3">
      <c r="A700" s="269" t="s">
        <v>1651</v>
      </c>
      <c r="B700" s="270" t="s">
        <v>1652</v>
      </c>
      <c r="C700" s="271">
        <v>154.00767030000003</v>
      </c>
    </row>
    <row r="701" spans="1:3">
      <c r="A701" s="269" t="s">
        <v>1653</v>
      </c>
      <c r="B701" s="270" t="s">
        <v>1654</v>
      </c>
      <c r="C701" s="271">
        <v>136.74205325000005</v>
      </c>
    </row>
    <row r="702" spans="1:3">
      <c r="A702" s="269" t="s">
        <v>1655</v>
      </c>
      <c r="B702" s="270" t="s">
        <v>1656</v>
      </c>
      <c r="C702" s="271">
        <v>154.00767030000003</v>
      </c>
    </row>
    <row r="703" spans="1:3">
      <c r="A703" s="269" t="s">
        <v>1657</v>
      </c>
      <c r="B703" s="270" t="s">
        <v>1658</v>
      </c>
      <c r="C703" s="271">
        <v>136.74205325000005</v>
      </c>
    </row>
    <row r="704" spans="1:3">
      <c r="A704" s="269" t="s">
        <v>1659</v>
      </c>
      <c r="B704" s="270" t="s">
        <v>1721</v>
      </c>
      <c r="C704" s="271">
        <v>242.59796000000003</v>
      </c>
    </row>
    <row r="705" spans="1:3">
      <c r="A705" s="269" t="s">
        <v>1661</v>
      </c>
      <c r="B705" s="270" t="s">
        <v>1722</v>
      </c>
      <c r="C705" s="271">
        <v>242.59796000000003</v>
      </c>
    </row>
    <row r="706" spans="1:3">
      <c r="A706" s="269" t="s">
        <v>1663</v>
      </c>
      <c r="B706" s="270" t="s">
        <v>1723</v>
      </c>
      <c r="C706" s="271">
        <v>242.59796000000003</v>
      </c>
    </row>
    <row r="707" spans="1:3">
      <c r="A707" s="269" t="s">
        <v>1665</v>
      </c>
      <c r="B707" s="270" t="s">
        <v>1724</v>
      </c>
      <c r="C707" s="271">
        <v>242.59796000000003</v>
      </c>
    </row>
    <row r="708" spans="1:3">
      <c r="A708" s="269" t="s">
        <v>1667</v>
      </c>
      <c r="B708" s="270" t="s">
        <v>1725</v>
      </c>
      <c r="C708" s="271">
        <v>242.59796000000003</v>
      </c>
    </row>
    <row r="709" spans="1:3">
      <c r="A709" s="269" t="s">
        <v>1669</v>
      </c>
      <c r="B709" s="270" t="s">
        <v>1726</v>
      </c>
      <c r="C709" s="271">
        <v>242.59796000000003</v>
      </c>
    </row>
    <row r="710" spans="1:3">
      <c r="A710" s="269" t="s">
        <v>1671</v>
      </c>
      <c r="B710" s="270" t="s">
        <v>1727</v>
      </c>
      <c r="C710" s="271">
        <v>242.59796000000003</v>
      </c>
    </row>
    <row r="711" spans="1:3">
      <c r="A711" s="269" t="s">
        <v>1673</v>
      </c>
      <c r="B711" s="270" t="s">
        <v>1728</v>
      </c>
      <c r="C711" s="271">
        <v>242.59796000000003</v>
      </c>
    </row>
  </sheetData>
  <mergeCells count="1">
    <mergeCell ref="E1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7E9B-0CCB-4F87-AC4F-7F9991C89B09}">
  <dimension ref="A1:E556"/>
  <sheetViews>
    <sheetView workbookViewId="0">
      <selection activeCell="B3" sqref="B3"/>
    </sheetView>
  </sheetViews>
  <sheetFormatPr defaultRowHeight="14.4"/>
  <cols>
    <col min="1" max="1" width="18.44140625" bestFit="1" customWidth="1"/>
    <col min="2" max="2" width="78.109375" bestFit="1" customWidth="1"/>
    <col min="3" max="3" width="10" bestFit="1" customWidth="1"/>
    <col min="4" max="4" width="7.33203125" bestFit="1" customWidth="1"/>
    <col min="5" max="5" width="8.6640625" bestFit="1" customWidth="1"/>
  </cols>
  <sheetData>
    <row r="1" spans="1:5" ht="41.4">
      <c r="A1" s="272" t="s">
        <v>97</v>
      </c>
      <c r="B1" s="273" t="s">
        <v>1221</v>
      </c>
      <c r="C1" s="274" t="s">
        <v>1222</v>
      </c>
      <c r="D1" s="274" t="s">
        <v>1223</v>
      </c>
      <c r="E1" s="274" t="s">
        <v>1224</v>
      </c>
    </row>
    <row r="2" spans="1:5">
      <c r="A2" s="275" t="s">
        <v>1225</v>
      </c>
      <c r="B2" s="276" t="s">
        <v>1226</v>
      </c>
      <c r="C2" s="277">
        <v>15.228828</v>
      </c>
      <c r="D2" s="278" t="s">
        <v>1227</v>
      </c>
      <c r="E2" s="279">
        <f>D2/60</f>
        <v>0.25</v>
      </c>
    </row>
    <row r="3" spans="1:5">
      <c r="A3" s="275" t="s">
        <v>1228</v>
      </c>
      <c r="B3" s="276" t="s">
        <v>1229</v>
      </c>
      <c r="C3" s="277">
        <v>10.025645100000002</v>
      </c>
      <c r="D3" s="280">
        <v>15</v>
      </c>
      <c r="E3" s="279">
        <f t="shared" ref="E3:E66" si="0">D3/60</f>
        <v>0.25</v>
      </c>
    </row>
    <row r="4" spans="1:5">
      <c r="A4" s="275" t="s">
        <v>667</v>
      </c>
      <c r="B4" s="276" t="s">
        <v>1230</v>
      </c>
      <c r="C4" s="277">
        <v>60.280777499999999</v>
      </c>
      <c r="D4" s="280">
        <v>30</v>
      </c>
      <c r="E4" s="279">
        <f t="shared" si="0"/>
        <v>0.5</v>
      </c>
    </row>
    <row r="5" spans="1:5">
      <c r="A5" s="275" t="s">
        <v>668</v>
      </c>
      <c r="B5" s="276" t="s">
        <v>1231</v>
      </c>
      <c r="C5" s="277">
        <v>76.905581399999988</v>
      </c>
      <c r="D5" s="280">
        <v>30</v>
      </c>
      <c r="E5" s="279">
        <f t="shared" si="0"/>
        <v>0.5</v>
      </c>
    </row>
    <row r="6" spans="1:5">
      <c r="A6" s="275" t="s">
        <v>669</v>
      </c>
      <c r="B6" s="275" t="s">
        <v>1232</v>
      </c>
      <c r="C6" s="281">
        <v>110.91663059999999</v>
      </c>
      <c r="D6" s="282">
        <v>30</v>
      </c>
      <c r="E6" s="279">
        <f t="shared" si="0"/>
        <v>0.5</v>
      </c>
    </row>
    <row r="7" spans="1:5">
      <c r="A7" s="275" t="s">
        <v>673</v>
      </c>
      <c r="B7" s="275" t="s">
        <v>1233</v>
      </c>
      <c r="C7" s="281">
        <v>374.50226190000001</v>
      </c>
      <c r="D7" s="282">
        <v>30</v>
      </c>
      <c r="E7" s="279">
        <f t="shared" si="0"/>
        <v>0.5</v>
      </c>
    </row>
    <row r="8" spans="1:5">
      <c r="A8" s="275" t="s">
        <v>674</v>
      </c>
      <c r="B8" s="275" t="s">
        <v>1234</v>
      </c>
      <c r="C8" s="281">
        <v>441.63601199999999</v>
      </c>
      <c r="D8" s="282">
        <v>30</v>
      </c>
      <c r="E8" s="279">
        <f t="shared" si="0"/>
        <v>0.5</v>
      </c>
    </row>
    <row r="9" spans="1:5">
      <c r="A9" s="275" t="s">
        <v>676</v>
      </c>
      <c r="B9" s="275" t="s">
        <v>1235</v>
      </c>
      <c r="C9" s="281">
        <v>31.726725000000002</v>
      </c>
      <c r="D9" s="282">
        <v>30</v>
      </c>
      <c r="E9" s="279">
        <f t="shared" si="0"/>
        <v>0.5</v>
      </c>
    </row>
    <row r="10" spans="1:5">
      <c r="A10" s="275" t="s">
        <v>677</v>
      </c>
      <c r="B10" s="275" t="s">
        <v>1236</v>
      </c>
      <c r="C10" s="281">
        <v>34.645583700000003</v>
      </c>
      <c r="D10" s="282">
        <v>30</v>
      </c>
      <c r="E10" s="279">
        <f t="shared" si="0"/>
        <v>0.5</v>
      </c>
    </row>
    <row r="11" spans="1:5">
      <c r="A11" s="275" t="s">
        <v>678</v>
      </c>
      <c r="B11" s="275" t="s">
        <v>1237</v>
      </c>
      <c r="C11" s="281">
        <v>38.960418300000001</v>
      </c>
      <c r="D11" s="282">
        <v>30</v>
      </c>
      <c r="E11" s="279">
        <f t="shared" si="0"/>
        <v>0.5</v>
      </c>
    </row>
    <row r="12" spans="1:5">
      <c r="A12" s="275" t="s">
        <v>679</v>
      </c>
      <c r="B12" s="275" t="s">
        <v>1238</v>
      </c>
      <c r="C12" s="281">
        <v>48.351528899999991</v>
      </c>
      <c r="D12" s="282">
        <v>30</v>
      </c>
      <c r="E12" s="279">
        <f t="shared" si="0"/>
        <v>0.5</v>
      </c>
    </row>
    <row r="13" spans="1:5">
      <c r="A13" s="283" t="s">
        <v>680</v>
      </c>
      <c r="B13" s="275" t="s">
        <v>1239</v>
      </c>
      <c r="C13" s="281">
        <v>49.239877199999995</v>
      </c>
      <c r="D13" s="282">
        <v>30</v>
      </c>
      <c r="E13" s="279">
        <f t="shared" si="0"/>
        <v>0.5</v>
      </c>
    </row>
    <row r="14" spans="1:5">
      <c r="A14" s="283" t="s">
        <v>681</v>
      </c>
      <c r="B14" s="275" t="s">
        <v>1240</v>
      </c>
      <c r="C14" s="281">
        <v>72.210026099999993</v>
      </c>
      <c r="D14" s="282">
        <v>30</v>
      </c>
      <c r="E14" s="279">
        <f t="shared" si="0"/>
        <v>0.5</v>
      </c>
    </row>
    <row r="15" spans="1:5">
      <c r="A15" s="275" t="s">
        <v>682</v>
      </c>
      <c r="B15" s="275" t="s">
        <v>1241</v>
      </c>
      <c r="C15" s="281">
        <v>89.342457599999989</v>
      </c>
      <c r="D15" s="282">
        <v>30</v>
      </c>
      <c r="E15" s="279">
        <f t="shared" si="0"/>
        <v>0.5</v>
      </c>
    </row>
    <row r="16" spans="1:5">
      <c r="A16" s="275" t="s">
        <v>683</v>
      </c>
      <c r="B16" s="275" t="s">
        <v>1242</v>
      </c>
      <c r="C16" s="281">
        <v>152.28827999999999</v>
      </c>
      <c r="D16" s="282">
        <v>45</v>
      </c>
      <c r="E16" s="279">
        <f t="shared" si="0"/>
        <v>0.75</v>
      </c>
    </row>
    <row r="17" spans="1:5">
      <c r="A17" s="275" t="s">
        <v>684</v>
      </c>
      <c r="B17" s="275" t="s">
        <v>1243</v>
      </c>
      <c r="C17" s="281">
        <v>65.483960400000001</v>
      </c>
      <c r="D17" s="282">
        <v>30</v>
      </c>
      <c r="E17" s="279">
        <f t="shared" si="0"/>
        <v>0.5</v>
      </c>
    </row>
    <row r="18" spans="1:5">
      <c r="A18" s="275" t="s">
        <v>685</v>
      </c>
      <c r="B18" s="275" t="s">
        <v>1244</v>
      </c>
      <c r="C18" s="281">
        <v>90.103898999999998</v>
      </c>
      <c r="D18" s="282">
        <v>30</v>
      </c>
      <c r="E18" s="279">
        <f t="shared" si="0"/>
        <v>0.5</v>
      </c>
    </row>
    <row r="19" spans="1:5">
      <c r="A19" s="275" t="s">
        <v>686</v>
      </c>
      <c r="B19" s="275" t="s">
        <v>1245</v>
      </c>
      <c r="C19" s="281">
        <v>75.382698599999998</v>
      </c>
      <c r="D19" s="282">
        <v>30</v>
      </c>
      <c r="E19" s="279">
        <f t="shared" si="0"/>
        <v>0.5</v>
      </c>
    </row>
    <row r="20" spans="1:5">
      <c r="A20" s="275" t="s">
        <v>687</v>
      </c>
      <c r="B20" s="276" t="s">
        <v>1246</v>
      </c>
      <c r="C20" s="277">
        <v>84.266181599999996</v>
      </c>
      <c r="D20" s="280">
        <v>30</v>
      </c>
      <c r="E20" s="279">
        <f t="shared" si="0"/>
        <v>0.5</v>
      </c>
    </row>
    <row r="21" spans="1:5">
      <c r="A21" s="275" t="s">
        <v>688</v>
      </c>
      <c r="B21" s="276" t="s">
        <v>1247</v>
      </c>
      <c r="C21" s="277">
        <v>89.97699209999999</v>
      </c>
      <c r="D21" s="280">
        <v>30</v>
      </c>
      <c r="E21" s="279">
        <f t="shared" si="0"/>
        <v>0.5</v>
      </c>
    </row>
    <row r="22" spans="1:5">
      <c r="A22" s="275" t="s">
        <v>689</v>
      </c>
      <c r="B22" s="276" t="s">
        <v>1248</v>
      </c>
      <c r="C22" s="277">
        <v>106.47488910000001</v>
      </c>
      <c r="D22" s="280">
        <v>30</v>
      </c>
      <c r="E22" s="279">
        <f t="shared" si="0"/>
        <v>0.5</v>
      </c>
    </row>
    <row r="23" spans="1:5">
      <c r="A23" s="275" t="s">
        <v>691</v>
      </c>
      <c r="B23" s="276" t="s">
        <v>1249</v>
      </c>
      <c r="C23" s="277">
        <v>317.77487760000002</v>
      </c>
      <c r="D23" s="280">
        <v>30</v>
      </c>
      <c r="E23" s="279">
        <f t="shared" si="0"/>
        <v>0.5</v>
      </c>
    </row>
    <row r="24" spans="1:5">
      <c r="A24" s="275" t="s">
        <v>692</v>
      </c>
      <c r="B24" s="276" t="s">
        <v>1250</v>
      </c>
      <c r="C24" s="277">
        <v>401.78724539999996</v>
      </c>
      <c r="D24" s="280">
        <v>30</v>
      </c>
      <c r="E24" s="279">
        <f t="shared" si="0"/>
        <v>0.5</v>
      </c>
    </row>
    <row r="25" spans="1:5">
      <c r="A25" s="275" t="s">
        <v>698</v>
      </c>
      <c r="B25" s="276" t="s">
        <v>1251</v>
      </c>
      <c r="C25" s="277">
        <v>544.93822859999989</v>
      </c>
      <c r="D25" s="280">
        <v>45</v>
      </c>
      <c r="E25" s="279">
        <f t="shared" si="0"/>
        <v>0.75</v>
      </c>
    </row>
    <row r="26" spans="1:5">
      <c r="A26" s="275" t="s">
        <v>700</v>
      </c>
      <c r="B26" s="276" t="s">
        <v>1252</v>
      </c>
      <c r="C26" s="277">
        <v>273.99199710000005</v>
      </c>
      <c r="D26" s="280">
        <v>30</v>
      </c>
      <c r="E26" s="279">
        <f t="shared" si="0"/>
        <v>0.5</v>
      </c>
    </row>
    <row r="27" spans="1:5">
      <c r="A27" s="275" t="s">
        <v>702</v>
      </c>
      <c r="B27" s="276" t="s">
        <v>1253</v>
      </c>
      <c r="C27" s="277">
        <v>326.40454679999999</v>
      </c>
      <c r="D27" s="280">
        <v>30</v>
      </c>
      <c r="E27" s="279">
        <f t="shared" si="0"/>
        <v>0.5</v>
      </c>
    </row>
    <row r="28" spans="1:5">
      <c r="A28" s="275" t="s">
        <v>1254</v>
      </c>
      <c r="B28" s="275" t="s">
        <v>1255</v>
      </c>
      <c r="C28" s="281">
        <v>105.75575000000001</v>
      </c>
      <c r="D28" s="282">
        <v>10</v>
      </c>
      <c r="E28" s="279">
        <f t="shared" si="0"/>
        <v>0.16666666666666666</v>
      </c>
    </row>
    <row r="29" spans="1:5">
      <c r="A29" s="283" t="s">
        <v>267</v>
      </c>
      <c r="B29" s="276" t="s">
        <v>1256</v>
      </c>
      <c r="C29" s="277">
        <v>87.692667900000004</v>
      </c>
      <c r="D29" s="280">
        <v>15</v>
      </c>
      <c r="E29" s="279">
        <f t="shared" si="0"/>
        <v>0.25</v>
      </c>
    </row>
    <row r="30" spans="1:5">
      <c r="A30" s="275" t="s">
        <v>269</v>
      </c>
      <c r="B30" s="276" t="s">
        <v>1257</v>
      </c>
      <c r="C30" s="277">
        <v>100.8909855</v>
      </c>
      <c r="D30" s="280">
        <v>15</v>
      </c>
      <c r="E30" s="279">
        <f t="shared" si="0"/>
        <v>0.25</v>
      </c>
    </row>
    <row r="31" spans="1:5">
      <c r="A31" s="275" t="s">
        <v>707</v>
      </c>
      <c r="B31" s="276" t="s">
        <v>1258</v>
      </c>
      <c r="C31" s="277">
        <v>0.88834829999999987</v>
      </c>
      <c r="D31" s="280">
        <v>5</v>
      </c>
      <c r="E31" s="279">
        <f t="shared" si="0"/>
        <v>8.3333333333333329E-2</v>
      </c>
    </row>
    <row r="32" spans="1:5">
      <c r="A32" s="275" t="s">
        <v>709</v>
      </c>
      <c r="B32" s="276" t="s">
        <v>1259</v>
      </c>
      <c r="C32" s="277">
        <v>19.924383300000002</v>
      </c>
      <c r="D32" s="280">
        <v>0</v>
      </c>
      <c r="E32" s="279">
        <f t="shared" si="0"/>
        <v>0</v>
      </c>
    </row>
    <row r="33" spans="1:5">
      <c r="A33" s="275" t="s">
        <v>711</v>
      </c>
      <c r="B33" s="276" t="s">
        <v>1260</v>
      </c>
      <c r="C33" s="277">
        <v>21.447266099999997</v>
      </c>
      <c r="D33" s="280">
        <v>0</v>
      </c>
      <c r="E33" s="279">
        <f t="shared" si="0"/>
        <v>0</v>
      </c>
    </row>
    <row r="34" spans="1:5">
      <c r="A34" s="275" t="s">
        <v>713</v>
      </c>
      <c r="B34" s="276" t="s">
        <v>1261</v>
      </c>
      <c r="C34" s="277">
        <v>21.574172999999998</v>
      </c>
      <c r="D34" s="280">
        <v>20</v>
      </c>
      <c r="E34" s="279">
        <f t="shared" si="0"/>
        <v>0.33333333333333331</v>
      </c>
    </row>
    <row r="35" spans="1:5">
      <c r="A35" s="275" t="s">
        <v>715</v>
      </c>
      <c r="B35" s="276" t="s">
        <v>1261</v>
      </c>
      <c r="C35" s="277">
        <v>25.1275662</v>
      </c>
      <c r="D35" s="280">
        <v>20</v>
      </c>
      <c r="E35" s="279">
        <f t="shared" si="0"/>
        <v>0.33333333333333331</v>
      </c>
    </row>
    <row r="36" spans="1:5">
      <c r="A36" s="275" t="s">
        <v>717</v>
      </c>
      <c r="B36" s="276" t="s">
        <v>1261</v>
      </c>
      <c r="C36" s="277">
        <v>30.203842199999997</v>
      </c>
      <c r="D36" s="280">
        <v>20</v>
      </c>
      <c r="E36" s="279">
        <f t="shared" si="0"/>
        <v>0.33333333333333331</v>
      </c>
    </row>
    <row r="37" spans="1:5">
      <c r="A37" s="275" t="s">
        <v>719</v>
      </c>
      <c r="B37" s="276" t="s">
        <v>1261</v>
      </c>
      <c r="C37" s="277">
        <v>35.280118199999997</v>
      </c>
      <c r="D37" s="280">
        <v>20</v>
      </c>
      <c r="E37" s="279">
        <f t="shared" si="0"/>
        <v>0.33333333333333331</v>
      </c>
    </row>
    <row r="38" spans="1:5">
      <c r="A38" s="275" t="s">
        <v>104</v>
      </c>
      <c r="B38" s="276" t="s">
        <v>1262</v>
      </c>
      <c r="C38" s="277">
        <v>11.421621</v>
      </c>
      <c r="D38" s="280">
        <v>15</v>
      </c>
      <c r="E38" s="279">
        <f t="shared" si="0"/>
        <v>0.25</v>
      </c>
    </row>
    <row r="39" spans="1:5">
      <c r="A39" s="283" t="s">
        <v>271</v>
      </c>
      <c r="B39" s="276" t="s">
        <v>1263</v>
      </c>
      <c r="C39" s="277">
        <v>23.477776500000001</v>
      </c>
      <c r="D39" s="280">
        <v>15</v>
      </c>
      <c r="E39" s="279">
        <f t="shared" si="0"/>
        <v>0.25</v>
      </c>
    </row>
    <row r="40" spans="1:5">
      <c r="A40" s="275" t="s">
        <v>721</v>
      </c>
      <c r="B40" s="276" t="s">
        <v>1264</v>
      </c>
      <c r="C40" s="277">
        <v>22.843242</v>
      </c>
      <c r="D40" s="280">
        <v>15</v>
      </c>
      <c r="E40" s="279">
        <f t="shared" si="0"/>
        <v>0.25</v>
      </c>
    </row>
    <row r="41" spans="1:5">
      <c r="A41" s="275" t="s">
        <v>273</v>
      </c>
      <c r="B41" s="276" t="s">
        <v>1265</v>
      </c>
      <c r="C41" s="277">
        <v>23.477776500000001</v>
      </c>
      <c r="D41" s="280">
        <v>15</v>
      </c>
      <c r="E41" s="279">
        <f t="shared" si="0"/>
        <v>0.25</v>
      </c>
    </row>
    <row r="42" spans="1:5">
      <c r="A42" s="275" t="s">
        <v>275</v>
      </c>
      <c r="B42" s="276" t="s">
        <v>1266</v>
      </c>
      <c r="C42" s="277">
        <v>12.183062399999999</v>
      </c>
      <c r="D42" s="280">
        <v>15</v>
      </c>
      <c r="E42" s="279">
        <f t="shared" si="0"/>
        <v>0.25</v>
      </c>
    </row>
    <row r="43" spans="1:5">
      <c r="A43" s="275" t="s">
        <v>106</v>
      </c>
      <c r="B43" s="276" t="s">
        <v>1267</v>
      </c>
      <c r="C43" s="277">
        <v>5.2031828999999998</v>
      </c>
      <c r="D43" s="280">
        <v>15</v>
      </c>
      <c r="E43" s="279">
        <f t="shared" si="0"/>
        <v>0.25</v>
      </c>
    </row>
    <row r="44" spans="1:5">
      <c r="A44" s="275" t="s">
        <v>1268</v>
      </c>
      <c r="B44" s="276" t="s">
        <v>1269</v>
      </c>
      <c r="C44" s="277">
        <v>229.44767520000005</v>
      </c>
      <c r="D44" s="280">
        <v>10</v>
      </c>
      <c r="E44" s="279">
        <f t="shared" si="0"/>
        <v>0.16666666666666666</v>
      </c>
    </row>
    <row r="45" spans="1:5">
      <c r="A45" s="283" t="s">
        <v>96</v>
      </c>
      <c r="B45" s="276" t="s">
        <v>1270</v>
      </c>
      <c r="C45" s="277">
        <v>20.305104</v>
      </c>
      <c r="D45" s="280">
        <v>20</v>
      </c>
      <c r="E45" s="279">
        <f t="shared" si="0"/>
        <v>0.33333333333333331</v>
      </c>
    </row>
    <row r="46" spans="1:5">
      <c r="A46" s="275" t="s">
        <v>645</v>
      </c>
      <c r="B46" s="276" t="s">
        <v>1271</v>
      </c>
      <c r="C46" s="277">
        <v>268.40809350000006</v>
      </c>
      <c r="D46" s="280">
        <v>10</v>
      </c>
      <c r="E46" s="279">
        <f t="shared" si="0"/>
        <v>0.16666666666666666</v>
      </c>
    </row>
    <row r="47" spans="1:5">
      <c r="A47" s="275" t="s">
        <v>725</v>
      </c>
      <c r="B47" s="276" t="s">
        <v>1272</v>
      </c>
      <c r="C47" s="277">
        <v>42.513811499999996</v>
      </c>
      <c r="D47" s="280">
        <v>15</v>
      </c>
      <c r="E47" s="279">
        <f t="shared" si="0"/>
        <v>0.25</v>
      </c>
    </row>
    <row r="48" spans="1:5">
      <c r="A48" s="275" t="s">
        <v>727</v>
      </c>
      <c r="B48" s="276" t="s">
        <v>1272</v>
      </c>
      <c r="C48" s="277">
        <v>53.681618699999994</v>
      </c>
      <c r="D48" s="280">
        <v>15</v>
      </c>
      <c r="E48" s="279">
        <f t="shared" si="0"/>
        <v>0.25</v>
      </c>
    </row>
    <row r="49" spans="1:5">
      <c r="A49" s="275" t="s">
        <v>728</v>
      </c>
      <c r="B49" s="276" t="s">
        <v>1273</v>
      </c>
      <c r="C49" s="277">
        <v>113.20095480000001</v>
      </c>
      <c r="D49" s="280">
        <v>15</v>
      </c>
      <c r="E49" s="279">
        <f t="shared" si="0"/>
        <v>0.25</v>
      </c>
    </row>
    <row r="50" spans="1:5">
      <c r="A50" s="275" t="s">
        <v>276</v>
      </c>
      <c r="B50" s="276" t="s">
        <v>1274</v>
      </c>
      <c r="C50" s="277">
        <v>250.13349990000003</v>
      </c>
      <c r="D50" s="280">
        <v>10</v>
      </c>
      <c r="E50" s="279">
        <f t="shared" si="0"/>
        <v>0.16666666666666666</v>
      </c>
    </row>
    <row r="51" spans="1:5">
      <c r="A51" s="275" t="s">
        <v>278</v>
      </c>
      <c r="B51" s="276" t="s">
        <v>1275</v>
      </c>
      <c r="C51" s="277">
        <v>157.49146289999999</v>
      </c>
      <c r="D51" s="280">
        <v>10</v>
      </c>
      <c r="E51" s="279">
        <f t="shared" si="0"/>
        <v>0.16666666666666666</v>
      </c>
    </row>
    <row r="52" spans="1:5">
      <c r="A52" s="275" t="s">
        <v>280</v>
      </c>
      <c r="B52" s="276" t="s">
        <v>1276</v>
      </c>
      <c r="C52" s="277">
        <v>223.86377160000001</v>
      </c>
      <c r="D52" s="280">
        <v>10</v>
      </c>
      <c r="E52" s="279">
        <f t="shared" si="0"/>
        <v>0.16666666666666666</v>
      </c>
    </row>
    <row r="53" spans="1:5">
      <c r="A53" s="275" t="s">
        <v>282</v>
      </c>
      <c r="B53" s="276" t="s">
        <v>1277</v>
      </c>
      <c r="C53" s="277">
        <v>266.88521070000002</v>
      </c>
      <c r="D53" s="280">
        <v>10</v>
      </c>
      <c r="E53" s="279">
        <f t="shared" si="0"/>
        <v>0.16666666666666666</v>
      </c>
    </row>
    <row r="54" spans="1:5">
      <c r="A54" s="275" t="s">
        <v>730</v>
      </c>
      <c r="B54" s="276" t="s">
        <v>1278</v>
      </c>
      <c r="C54" s="277">
        <v>43.4021598</v>
      </c>
      <c r="D54" s="280">
        <v>15</v>
      </c>
      <c r="E54" s="279">
        <f t="shared" si="0"/>
        <v>0.25</v>
      </c>
    </row>
    <row r="55" spans="1:5">
      <c r="A55" s="275" t="s">
        <v>109</v>
      </c>
      <c r="B55" s="276" t="s">
        <v>110</v>
      </c>
      <c r="C55" s="277">
        <v>8.2489485000000009</v>
      </c>
      <c r="D55" s="280">
        <v>15</v>
      </c>
      <c r="E55" s="279">
        <f t="shared" si="0"/>
        <v>0.25</v>
      </c>
    </row>
    <row r="56" spans="1:5">
      <c r="A56" s="275" t="s">
        <v>732</v>
      </c>
      <c r="B56" s="276" t="s">
        <v>1279</v>
      </c>
      <c r="C56" s="277">
        <v>181.22305319999998</v>
      </c>
      <c r="D56" s="280">
        <v>15</v>
      </c>
      <c r="E56" s="279">
        <f t="shared" si="0"/>
        <v>0.25</v>
      </c>
    </row>
    <row r="57" spans="1:5">
      <c r="A57" s="275" t="s">
        <v>284</v>
      </c>
      <c r="B57" s="276" t="s">
        <v>1280</v>
      </c>
      <c r="C57" s="277">
        <v>767.786745</v>
      </c>
      <c r="D57" s="280">
        <v>15</v>
      </c>
      <c r="E57" s="279">
        <f t="shared" si="0"/>
        <v>0.25</v>
      </c>
    </row>
    <row r="58" spans="1:5">
      <c r="A58" s="275" t="s">
        <v>734</v>
      </c>
      <c r="B58" s="276" t="s">
        <v>1281</v>
      </c>
      <c r="C58" s="277">
        <v>34.645583700000003</v>
      </c>
      <c r="D58" s="280">
        <v>30</v>
      </c>
      <c r="E58" s="279">
        <f t="shared" si="0"/>
        <v>0.5</v>
      </c>
    </row>
    <row r="59" spans="1:5">
      <c r="A59" s="275" t="s">
        <v>736</v>
      </c>
      <c r="B59" s="276" t="s">
        <v>1282</v>
      </c>
      <c r="C59" s="277">
        <v>2.0305103999999998</v>
      </c>
      <c r="D59" s="280">
        <v>10</v>
      </c>
      <c r="E59" s="279">
        <f t="shared" si="0"/>
        <v>0.16666666666666666</v>
      </c>
    </row>
    <row r="60" spans="1:5">
      <c r="A60" s="275" t="s">
        <v>111</v>
      </c>
      <c r="B60" s="276" t="s">
        <v>1283</v>
      </c>
      <c r="C60" s="277">
        <v>22.716335100000002</v>
      </c>
      <c r="D60" s="280">
        <v>20</v>
      </c>
      <c r="E60" s="279">
        <f t="shared" si="0"/>
        <v>0.33333333333333331</v>
      </c>
    </row>
    <row r="61" spans="1:5">
      <c r="A61" s="283" t="s">
        <v>113</v>
      </c>
      <c r="B61" s="276" t="s">
        <v>1284</v>
      </c>
      <c r="C61" s="277">
        <v>66.372308699999991</v>
      </c>
      <c r="D61" s="280">
        <v>15</v>
      </c>
      <c r="E61" s="279">
        <f t="shared" si="0"/>
        <v>0.25</v>
      </c>
    </row>
    <row r="62" spans="1:5">
      <c r="A62" s="275" t="s">
        <v>286</v>
      </c>
      <c r="B62" s="276" t="s">
        <v>1285</v>
      </c>
      <c r="C62" s="277">
        <v>9.0103898999999981</v>
      </c>
      <c r="D62" s="280">
        <v>5</v>
      </c>
      <c r="E62" s="279">
        <f t="shared" si="0"/>
        <v>8.3333333333333329E-2</v>
      </c>
    </row>
    <row r="63" spans="1:5">
      <c r="A63" s="275" t="s">
        <v>288</v>
      </c>
      <c r="B63" s="276" t="s">
        <v>1285</v>
      </c>
      <c r="C63" s="277">
        <v>13.8328521</v>
      </c>
      <c r="D63" s="280">
        <v>5</v>
      </c>
      <c r="E63" s="279">
        <f t="shared" si="0"/>
        <v>8.3333333333333329E-2</v>
      </c>
    </row>
    <row r="64" spans="1:5">
      <c r="A64" s="283" t="s">
        <v>115</v>
      </c>
      <c r="B64" s="276" t="s">
        <v>364</v>
      </c>
      <c r="C64" s="277">
        <v>31.219097399999999</v>
      </c>
      <c r="D64" s="280">
        <v>20</v>
      </c>
      <c r="E64" s="279">
        <f t="shared" si="0"/>
        <v>0.33333333333333331</v>
      </c>
    </row>
    <row r="65" spans="1:5">
      <c r="A65" s="275" t="s">
        <v>290</v>
      </c>
      <c r="B65" s="276" t="s">
        <v>1286</v>
      </c>
      <c r="C65" s="277">
        <v>32.361259500000003</v>
      </c>
      <c r="D65" s="280">
        <v>20</v>
      </c>
      <c r="E65" s="279">
        <f t="shared" si="0"/>
        <v>0.33333333333333331</v>
      </c>
    </row>
    <row r="66" spans="1:5">
      <c r="A66" s="275" t="s">
        <v>292</v>
      </c>
      <c r="B66" s="276" t="s">
        <v>1286</v>
      </c>
      <c r="C66" s="277">
        <v>29.823121499999992</v>
      </c>
      <c r="D66" s="280">
        <v>20</v>
      </c>
      <c r="E66" s="279">
        <f t="shared" si="0"/>
        <v>0.33333333333333331</v>
      </c>
    </row>
    <row r="67" spans="1:5">
      <c r="A67" s="275" t="s">
        <v>538</v>
      </c>
      <c r="B67" s="276" t="s">
        <v>1287</v>
      </c>
      <c r="C67" s="277">
        <v>30.203842199999997</v>
      </c>
      <c r="D67" s="280">
        <v>20</v>
      </c>
      <c r="E67" s="279">
        <f t="shared" ref="E67:E130" si="1">D67/60</f>
        <v>0.33333333333333331</v>
      </c>
    </row>
    <row r="68" spans="1:5">
      <c r="A68" s="275" t="s">
        <v>738</v>
      </c>
      <c r="B68" s="276" t="s">
        <v>892</v>
      </c>
      <c r="C68" s="277">
        <v>18.020779799999996</v>
      </c>
      <c r="D68" s="280">
        <v>10</v>
      </c>
      <c r="E68" s="279">
        <f t="shared" si="1"/>
        <v>0.16666666666666666</v>
      </c>
    </row>
    <row r="69" spans="1:5">
      <c r="A69" s="275" t="s">
        <v>117</v>
      </c>
      <c r="B69" s="276" t="s">
        <v>364</v>
      </c>
      <c r="C69" s="277">
        <v>70.052608800000002</v>
      </c>
      <c r="D69" s="280">
        <v>20</v>
      </c>
      <c r="E69" s="279">
        <f t="shared" si="1"/>
        <v>0.33333333333333331</v>
      </c>
    </row>
    <row r="70" spans="1:5">
      <c r="A70" s="275" t="s">
        <v>119</v>
      </c>
      <c r="B70" s="276" t="s">
        <v>1288</v>
      </c>
      <c r="C70" s="277">
        <v>7.9951346999999995</v>
      </c>
      <c r="D70" s="280">
        <v>5</v>
      </c>
      <c r="E70" s="279">
        <f t="shared" si="1"/>
        <v>8.3333333333333329E-2</v>
      </c>
    </row>
    <row r="71" spans="1:5">
      <c r="A71" s="275" t="s">
        <v>121</v>
      </c>
      <c r="B71" s="276" t="s">
        <v>1289</v>
      </c>
      <c r="C71" s="277">
        <v>12.69069</v>
      </c>
      <c r="D71" s="280">
        <v>5</v>
      </c>
      <c r="E71" s="279">
        <f t="shared" si="1"/>
        <v>8.3333333333333329E-2</v>
      </c>
    </row>
    <row r="72" spans="1:5">
      <c r="A72" s="275" t="s">
        <v>540</v>
      </c>
      <c r="B72" s="276" t="s">
        <v>1290</v>
      </c>
      <c r="C72" s="277">
        <v>131.0948277</v>
      </c>
      <c r="D72" s="280">
        <v>20</v>
      </c>
      <c r="E72" s="279">
        <f t="shared" si="1"/>
        <v>0.33333333333333331</v>
      </c>
    </row>
    <row r="73" spans="1:5">
      <c r="A73" s="275" t="s">
        <v>542</v>
      </c>
      <c r="B73" s="276" t="s">
        <v>1290</v>
      </c>
      <c r="C73" s="277">
        <v>139.21686930000001</v>
      </c>
      <c r="D73" s="280">
        <v>20</v>
      </c>
      <c r="E73" s="279">
        <f t="shared" si="1"/>
        <v>0.33333333333333331</v>
      </c>
    </row>
    <row r="74" spans="1:5">
      <c r="A74" s="275" t="s">
        <v>544</v>
      </c>
      <c r="B74" s="276" t="s">
        <v>1291</v>
      </c>
      <c r="C74" s="277">
        <v>131.0948277</v>
      </c>
      <c r="D74" s="280">
        <v>20</v>
      </c>
      <c r="E74" s="279">
        <f t="shared" si="1"/>
        <v>0.33333333333333331</v>
      </c>
    </row>
    <row r="75" spans="1:5">
      <c r="A75" s="275" t="s">
        <v>546</v>
      </c>
      <c r="B75" s="276" t="s">
        <v>1292</v>
      </c>
      <c r="C75" s="277">
        <v>139.21686930000001</v>
      </c>
      <c r="D75" s="280">
        <v>20</v>
      </c>
      <c r="E75" s="279">
        <f t="shared" si="1"/>
        <v>0.33333333333333331</v>
      </c>
    </row>
    <row r="76" spans="1:5">
      <c r="A76" s="275" t="s">
        <v>1293</v>
      </c>
      <c r="B76" s="276" t="s">
        <v>1294</v>
      </c>
      <c r="C76" s="277">
        <v>123.099693</v>
      </c>
      <c r="D76" s="280">
        <v>20</v>
      </c>
      <c r="E76" s="279">
        <f t="shared" si="1"/>
        <v>0.33333333333333331</v>
      </c>
    </row>
    <row r="77" spans="1:5">
      <c r="A77" s="275" t="s">
        <v>123</v>
      </c>
      <c r="B77" s="276" t="s">
        <v>1284</v>
      </c>
      <c r="C77" s="277">
        <v>20.051290200000004</v>
      </c>
      <c r="D77" s="280">
        <v>20</v>
      </c>
      <c r="E77" s="279">
        <f t="shared" si="1"/>
        <v>0.33333333333333331</v>
      </c>
    </row>
    <row r="78" spans="1:5">
      <c r="A78" s="275" t="s">
        <v>740</v>
      </c>
      <c r="B78" s="276" t="s">
        <v>1295</v>
      </c>
      <c r="C78" s="277">
        <v>395.82262109999999</v>
      </c>
      <c r="D78" s="280">
        <v>30</v>
      </c>
      <c r="E78" s="279">
        <f t="shared" si="1"/>
        <v>0.5</v>
      </c>
    </row>
    <row r="79" spans="1:5">
      <c r="A79" s="283" t="s">
        <v>742</v>
      </c>
      <c r="B79" s="276" t="s">
        <v>1296</v>
      </c>
      <c r="C79" s="277">
        <v>395.82262109999999</v>
      </c>
      <c r="D79" s="280">
        <v>30</v>
      </c>
      <c r="E79" s="279">
        <f t="shared" si="1"/>
        <v>0.5</v>
      </c>
    </row>
    <row r="80" spans="1:5">
      <c r="A80" s="275" t="s">
        <v>744</v>
      </c>
      <c r="B80" s="276" t="s">
        <v>1297</v>
      </c>
      <c r="C80" s="277">
        <v>414.60484229999992</v>
      </c>
      <c r="D80" s="280">
        <v>30</v>
      </c>
      <c r="E80" s="279">
        <f t="shared" si="1"/>
        <v>0.5</v>
      </c>
    </row>
    <row r="81" spans="1:5">
      <c r="A81" s="275" t="s">
        <v>1298</v>
      </c>
      <c r="B81" s="276" t="s">
        <v>1299</v>
      </c>
      <c r="C81" s="277">
        <v>25.508286899999998</v>
      </c>
      <c r="D81" s="280">
        <v>15</v>
      </c>
      <c r="E81" s="279">
        <f t="shared" si="1"/>
        <v>0.25</v>
      </c>
    </row>
    <row r="82" spans="1:5">
      <c r="A82" s="275" t="s">
        <v>125</v>
      </c>
      <c r="B82" s="276" t="s">
        <v>1300</v>
      </c>
      <c r="C82" s="277">
        <v>31.980538799999998</v>
      </c>
      <c r="D82" s="280">
        <v>20</v>
      </c>
      <c r="E82" s="279">
        <f t="shared" si="1"/>
        <v>0.33333333333333331</v>
      </c>
    </row>
    <row r="83" spans="1:5">
      <c r="A83" s="275" t="s">
        <v>1301</v>
      </c>
      <c r="B83" s="276" t="s">
        <v>1300</v>
      </c>
      <c r="C83" s="277">
        <v>37.564442399999997</v>
      </c>
      <c r="D83" s="280">
        <v>20</v>
      </c>
      <c r="E83" s="279">
        <f t="shared" si="1"/>
        <v>0.33333333333333331</v>
      </c>
    </row>
    <row r="84" spans="1:5">
      <c r="A84" s="275" t="s">
        <v>127</v>
      </c>
      <c r="B84" s="276" t="s">
        <v>1302</v>
      </c>
      <c r="C84" s="277">
        <v>12.5637831</v>
      </c>
      <c r="D84" s="280">
        <v>20</v>
      </c>
      <c r="E84" s="279">
        <f t="shared" si="1"/>
        <v>0.33333333333333331</v>
      </c>
    </row>
    <row r="85" spans="1:5">
      <c r="A85" s="275" t="s">
        <v>294</v>
      </c>
      <c r="B85" s="276" t="s">
        <v>1302</v>
      </c>
      <c r="C85" s="277">
        <v>12.309969299999999</v>
      </c>
      <c r="D85" s="280">
        <v>20</v>
      </c>
      <c r="E85" s="279">
        <f t="shared" si="1"/>
        <v>0.33333333333333331</v>
      </c>
    </row>
    <row r="86" spans="1:5">
      <c r="A86" s="275" t="s">
        <v>129</v>
      </c>
      <c r="B86" s="276" t="s">
        <v>1303</v>
      </c>
      <c r="C86" s="277">
        <v>17.893872899999998</v>
      </c>
      <c r="D86" s="280">
        <v>20</v>
      </c>
      <c r="E86" s="279">
        <f t="shared" si="1"/>
        <v>0.33333333333333331</v>
      </c>
    </row>
    <row r="87" spans="1:5">
      <c r="A87" s="283" t="s">
        <v>296</v>
      </c>
      <c r="B87" s="276" t="s">
        <v>1303</v>
      </c>
      <c r="C87" s="277">
        <v>14.340479700000003</v>
      </c>
      <c r="D87" s="280">
        <v>20</v>
      </c>
      <c r="E87" s="279">
        <f t="shared" si="1"/>
        <v>0.33333333333333331</v>
      </c>
    </row>
    <row r="88" spans="1:5">
      <c r="A88" s="275" t="s">
        <v>550</v>
      </c>
      <c r="B88" s="276" t="s">
        <v>1303</v>
      </c>
      <c r="C88" s="277">
        <v>29.950028399999997</v>
      </c>
      <c r="D88" s="280">
        <v>20</v>
      </c>
      <c r="E88" s="279">
        <f t="shared" si="1"/>
        <v>0.33333333333333331</v>
      </c>
    </row>
    <row r="89" spans="1:5">
      <c r="A89" s="275" t="s">
        <v>131</v>
      </c>
      <c r="B89" s="276" t="s">
        <v>1304</v>
      </c>
      <c r="C89" s="277">
        <v>184.64953949999997</v>
      </c>
      <c r="D89" s="280">
        <v>20</v>
      </c>
      <c r="E89" s="279">
        <f t="shared" si="1"/>
        <v>0.33333333333333331</v>
      </c>
    </row>
    <row r="90" spans="1:5">
      <c r="A90" s="275" t="s">
        <v>133</v>
      </c>
      <c r="B90" s="276" t="s">
        <v>1305</v>
      </c>
      <c r="C90" s="277">
        <v>187.4414913</v>
      </c>
      <c r="D90" s="280">
        <v>20</v>
      </c>
      <c r="E90" s="279">
        <f t="shared" si="1"/>
        <v>0.33333333333333331</v>
      </c>
    </row>
    <row r="91" spans="1:5">
      <c r="A91" s="275" t="s">
        <v>135</v>
      </c>
      <c r="B91" s="276" t="s">
        <v>1306</v>
      </c>
      <c r="C91" s="277">
        <v>64.8494259</v>
      </c>
      <c r="D91" s="280">
        <v>20</v>
      </c>
      <c r="E91" s="279">
        <f t="shared" si="1"/>
        <v>0.33333333333333331</v>
      </c>
    </row>
    <row r="92" spans="1:5">
      <c r="A92" s="275" t="s">
        <v>746</v>
      </c>
      <c r="B92" s="276" t="s">
        <v>747</v>
      </c>
      <c r="C92" s="277">
        <v>4.1879277000000004</v>
      </c>
      <c r="D92" s="280">
        <v>5</v>
      </c>
      <c r="E92" s="279">
        <f t="shared" si="1"/>
        <v>8.3333333333333329E-2</v>
      </c>
    </row>
    <row r="93" spans="1:5">
      <c r="A93" s="275" t="s">
        <v>298</v>
      </c>
      <c r="B93" s="276" t="s">
        <v>1307</v>
      </c>
      <c r="C93" s="277">
        <v>44.798135699999996</v>
      </c>
      <c r="D93" s="280">
        <v>20</v>
      </c>
      <c r="E93" s="279">
        <f t="shared" si="1"/>
        <v>0.33333333333333331</v>
      </c>
    </row>
    <row r="94" spans="1:5">
      <c r="A94" s="275" t="s">
        <v>300</v>
      </c>
      <c r="B94" s="276" t="s">
        <v>1308</v>
      </c>
      <c r="C94" s="277">
        <v>211.17308160000002</v>
      </c>
      <c r="D94" s="280">
        <v>20</v>
      </c>
      <c r="E94" s="279">
        <f t="shared" si="1"/>
        <v>0.33333333333333331</v>
      </c>
    </row>
    <row r="95" spans="1:5">
      <c r="A95" s="275" t="s">
        <v>137</v>
      </c>
      <c r="B95" s="276" t="s">
        <v>138</v>
      </c>
      <c r="C95" s="277">
        <v>54.189246299999994</v>
      </c>
      <c r="D95" s="280">
        <v>20</v>
      </c>
      <c r="E95" s="279">
        <f t="shared" si="1"/>
        <v>0.33333333333333331</v>
      </c>
    </row>
    <row r="96" spans="1:5">
      <c r="A96" s="283" t="s">
        <v>302</v>
      </c>
      <c r="B96" s="276" t="s">
        <v>1309</v>
      </c>
      <c r="C96" s="277">
        <v>40.483301099999998</v>
      </c>
      <c r="D96" s="280">
        <v>20</v>
      </c>
      <c r="E96" s="279">
        <f t="shared" si="1"/>
        <v>0.33333333333333331</v>
      </c>
    </row>
    <row r="97" spans="1:5">
      <c r="A97" s="275" t="s">
        <v>304</v>
      </c>
      <c r="B97" s="276" t="s">
        <v>1310</v>
      </c>
      <c r="C97" s="277">
        <v>33.757235399999999</v>
      </c>
      <c r="D97" s="280">
        <v>20</v>
      </c>
      <c r="E97" s="279">
        <f t="shared" si="1"/>
        <v>0.33333333333333331</v>
      </c>
    </row>
    <row r="98" spans="1:5">
      <c r="A98" s="283" t="s">
        <v>306</v>
      </c>
      <c r="B98" s="276" t="s">
        <v>1311</v>
      </c>
      <c r="C98" s="277">
        <v>97.464499199999992</v>
      </c>
      <c r="D98" s="280">
        <v>20</v>
      </c>
      <c r="E98" s="279">
        <f t="shared" si="1"/>
        <v>0.33333333333333331</v>
      </c>
    </row>
    <row r="99" spans="1:5">
      <c r="A99" s="275" t="s">
        <v>748</v>
      </c>
      <c r="B99" s="276" t="s">
        <v>1312</v>
      </c>
      <c r="C99" s="277">
        <v>73.479095099999995</v>
      </c>
      <c r="D99" s="280">
        <v>30</v>
      </c>
      <c r="E99" s="279">
        <f t="shared" si="1"/>
        <v>0.5</v>
      </c>
    </row>
    <row r="100" spans="1:5">
      <c r="A100" s="275" t="s">
        <v>750</v>
      </c>
      <c r="B100" s="276" t="s">
        <v>1313</v>
      </c>
      <c r="C100" s="277">
        <v>76.017233099999999</v>
      </c>
      <c r="D100" s="280">
        <v>30</v>
      </c>
      <c r="E100" s="279">
        <f t="shared" si="1"/>
        <v>0.5</v>
      </c>
    </row>
    <row r="101" spans="1:5">
      <c r="A101" s="275" t="s">
        <v>752</v>
      </c>
      <c r="B101" s="276" t="s">
        <v>1314</v>
      </c>
      <c r="C101" s="277">
        <v>92.642037000000002</v>
      </c>
      <c r="D101" s="280">
        <v>30</v>
      </c>
      <c r="E101" s="279">
        <f t="shared" si="1"/>
        <v>0.5</v>
      </c>
    </row>
    <row r="102" spans="1:5">
      <c r="A102" s="275" t="s">
        <v>754</v>
      </c>
      <c r="B102" s="276" t="s">
        <v>1315</v>
      </c>
      <c r="C102" s="277">
        <v>93.276571500000003</v>
      </c>
      <c r="D102" s="280">
        <v>30</v>
      </c>
      <c r="E102" s="279">
        <f t="shared" si="1"/>
        <v>0.5</v>
      </c>
    </row>
    <row r="103" spans="1:5">
      <c r="A103" s="275" t="s">
        <v>756</v>
      </c>
      <c r="B103" s="276" t="s">
        <v>1316</v>
      </c>
      <c r="C103" s="277">
        <v>142.64335560000001</v>
      </c>
      <c r="D103" s="280">
        <v>30</v>
      </c>
      <c r="E103" s="279">
        <f t="shared" si="1"/>
        <v>0.5</v>
      </c>
    </row>
    <row r="104" spans="1:5">
      <c r="A104" s="275" t="s">
        <v>758</v>
      </c>
      <c r="B104" s="276" t="s">
        <v>1317</v>
      </c>
      <c r="C104" s="277">
        <v>174.62389440000001</v>
      </c>
      <c r="D104" s="280">
        <v>45</v>
      </c>
      <c r="E104" s="279">
        <f t="shared" si="1"/>
        <v>0.75</v>
      </c>
    </row>
    <row r="105" spans="1:5">
      <c r="A105" s="275" t="s">
        <v>760</v>
      </c>
      <c r="B105" s="276" t="s">
        <v>1318</v>
      </c>
      <c r="C105" s="277">
        <v>204.06629520000001</v>
      </c>
      <c r="D105" s="280">
        <v>45</v>
      </c>
      <c r="E105" s="279">
        <f t="shared" si="1"/>
        <v>0.75</v>
      </c>
    </row>
    <row r="106" spans="1:5">
      <c r="A106" s="275" t="s">
        <v>762</v>
      </c>
      <c r="B106" s="276" t="s">
        <v>1319</v>
      </c>
      <c r="C106" s="277">
        <v>87.946481699999993</v>
      </c>
      <c r="D106" s="280">
        <v>30</v>
      </c>
      <c r="E106" s="279">
        <f t="shared" si="1"/>
        <v>0.5</v>
      </c>
    </row>
    <row r="107" spans="1:5">
      <c r="A107" s="275" t="s">
        <v>763</v>
      </c>
      <c r="B107" s="276" t="s">
        <v>1320</v>
      </c>
      <c r="C107" s="277">
        <v>99.2411958</v>
      </c>
      <c r="D107" s="280">
        <v>30</v>
      </c>
      <c r="E107" s="279">
        <f t="shared" si="1"/>
        <v>0.5</v>
      </c>
    </row>
    <row r="108" spans="1:5">
      <c r="A108" s="275" t="s">
        <v>764</v>
      </c>
      <c r="B108" s="276" t="s">
        <v>1321</v>
      </c>
      <c r="C108" s="277">
        <v>117.5157894</v>
      </c>
      <c r="D108" s="280">
        <v>30</v>
      </c>
      <c r="E108" s="279">
        <f t="shared" si="1"/>
        <v>0.5</v>
      </c>
    </row>
    <row r="109" spans="1:5">
      <c r="A109" s="275" t="s">
        <v>765</v>
      </c>
      <c r="B109" s="276" t="s">
        <v>1322</v>
      </c>
      <c r="C109" s="277">
        <v>174.11626680000001</v>
      </c>
      <c r="D109" s="280">
        <v>25</v>
      </c>
      <c r="E109" s="279">
        <f t="shared" si="1"/>
        <v>0.41666666666666669</v>
      </c>
    </row>
    <row r="110" spans="1:5">
      <c r="A110" s="275" t="s">
        <v>766</v>
      </c>
      <c r="B110" s="276" t="s">
        <v>1323</v>
      </c>
      <c r="C110" s="277">
        <v>124.36876199999998</v>
      </c>
      <c r="D110" s="280">
        <v>30</v>
      </c>
      <c r="E110" s="279">
        <f t="shared" si="1"/>
        <v>0.5</v>
      </c>
    </row>
    <row r="111" spans="1:5">
      <c r="A111" s="275" t="s">
        <v>768</v>
      </c>
      <c r="B111" s="276" t="s">
        <v>1324</v>
      </c>
      <c r="C111" s="277">
        <v>158.88743879999998</v>
      </c>
      <c r="D111" s="280">
        <v>30</v>
      </c>
      <c r="E111" s="279">
        <f t="shared" si="1"/>
        <v>0.5</v>
      </c>
    </row>
    <row r="112" spans="1:5">
      <c r="A112" s="275" t="s">
        <v>770</v>
      </c>
      <c r="B112" s="276" t="s">
        <v>1325</v>
      </c>
      <c r="C112" s="277">
        <v>194.67518459999999</v>
      </c>
      <c r="D112" s="280">
        <v>30</v>
      </c>
      <c r="E112" s="279">
        <f t="shared" si="1"/>
        <v>0.5</v>
      </c>
    </row>
    <row r="113" spans="1:5">
      <c r="A113" s="275" t="s">
        <v>772</v>
      </c>
      <c r="B113" s="276" t="s">
        <v>1326</v>
      </c>
      <c r="C113" s="277">
        <v>110.409003</v>
      </c>
      <c r="D113" s="280">
        <v>30</v>
      </c>
      <c r="E113" s="279">
        <f t="shared" si="1"/>
        <v>0.5</v>
      </c>
    </row>
    <row r="114" spans="1:5">
      <c r="A114" s="275" t="s">
        <v>774</v>
      </c>
      <c r="B114" s="276" t="s">
        <v>1327</v>
      </c>
      <c r="C114" s="277">
        <v>37.183721699999992</v>
      </c>
      <c r="D114" s="280">
        <v>20</v>
      </c>
      <c r="E114" s="279">
        <f t="shared" si="1"/>
        <v>0.33333333333333331</v>
      </c>
    </row>
    <row r="115" spans="1:5">
      <c r="A115" s="275" t="s">
        <v>776</v>
      </c>
      <c r="B115" s="276" t="s">
        <v>1327</v>
      </c>
      <c r="C115" s="277">
        <v>38.833511399999992</v>
      </c>
      <c r="D115" s="280">
        <v>20</v>
      </c>
      <c r="E115" s="279">
        <f t="shared" si="1"/>
        <v>0.33333333333333331</v>
      </c>
    </row>
    <row r="116" spans="1:5">
      <c r="A116" s="275" t="s">
        <v>778</v>
      </c>
      <c r="B116" s="276" t="s">
        <v>1327</v>
      </c>
      <c r="C116" s="277">
        <v>46.8286461</v>
      </c>
      <c r="D116" s="280">
        <v>20</v>
      </c>
      <c r="E116" s="279">
        <f t="shared" si="1"/>
        <v>0.33333333333333331</v>
      </c>
    </row>
    <row r="117" spans="1:5">
      <c r="A117" s="275" t="s">
        <v>780</v>
      </c>
      <c r="B117" s="276" t="s">
        <v>1327</v>
      </c>
      <c r="C117" s="277">
        <v>46.067204699999998</v>
      </c>
      <c r="D117" s="280">
        <v>20</v>
      </c>
      <c r="E117" s="279">
        <f t="shared" si="1"/>
        <v>0.33333333333333331</v>
      </c>
    </row>
    <row r="118" spans="1:5">
      <c r="A118" s="275" t="s">
        <v>139</v>
      </c>
      <c r="B118" s="276" t="s">
        <v>1328</v>
      </c>
      <c r="C118" s="277">
        <v>82.616391899999996</v>
      </c>
      <c r="D118" s="280">
        <v>25</v>
      </c>
      <c r="E118" s="279">
        <f t="shared" si="1"/>
        <v>0.41666666666666669</v>
      </c>
    </row>
    <row r="119" spans="1:5">
      <c r="A119" s="275" t="s">
        <v>308</v>
      </c>
      <c r="B119" s="276" t="s">
        <v>1329</v>
      </c>
      <c r="C119" s="277">
        <v>260.92058640000005</v>
      </c>
      <c r="D119" s="280">
        <v>20</v>
      </c>
      <c r="E119" s="279">
        <f t="shared" si="1"/>
        <v>0.33333333333333331</v>
      </c>
    </row>
    <row r="120" spans="1:5">
      <c r="A120" s="275" t="s">
        <v>552</v>
      </c>
      <c r="B120" s="276" t="s">
        <v>1330</v>
      </c>
      <c r="C120" s="277">
        <v>347.2172784</v>
      </c>
      <c r="D120" s="280">
        <v>20</v>
      </c>
      <c r="E120" s="279">
        <f t="shared" si="1"/>
        <v>0.33333333333333331</v>
      </c>
    </row>
    <row r="121" spans="1:5">
      <c r="A121" s="275" t="s">
        <v>782</v>
      </c>
      <c r="B121" s="276" t="s">
        <v>1327</v>
      </c>
      <c r="C121" s="277">
        <v>49.6205979</v>
      </c>
      <c r="D121" s="280">
        <v>20</v>
      </c>
      <c r="E121" s="279">
        <f t="shared" si="1"/>
        <v>0.33333333333333331</v>
      </c>
    </row>
    <row r="122" spans="1:5">
      <c r="A122" s="275" t="s">
        <v>784</v>
      </c>
      <c r="B122" s="276" t="s">
        <v>1327</v>
      </c>
      <c r="C122" s="277">
        <v>56.219756699999991</v>
      </c>
      <c r="D122" s="280">
        <v>20</v>
      </c>
      <c r="E122" s="279">
        <f t="shared" si="1"/>
        <v>0.33333333333333331</v>
      </c>
    </row>
    <row r="123" spans="1:5">
      <c r="A123" s="275" t="s">
        <v>141</v>
      </c>
      <c r="B123" s="276" t="s">
        <v>1331</v>
      </c>
      <c r="C123" s="277">
        <v>326.15073300000006</v>
      </c>
      <c r="D123" s="280">
        <v>25</v>
      </c>
      <c r="E123" s="279">
        <f t="shared" si="1"/>
        <v>0.41666666666666669</v>
      </c>
    </row>
    <row r="124" spans="1:5">
      <c r="A124" s="275" t="s">
        <v>143</v>
      </c>
      <c r="B124" s="276" t="s">
        <v>1332</v>
      </c>
      <c r="C124" s="277">
        <v>57.361918799999998</v>
      </c>
      <c r="D124" s="280">
        <v>20</v>
      </c>
      <c r="E124" s="279">
        <f t="shared" si="1"/>
        <v>0.33333333333333331</v>
      </c>
    </row>
    <row r="125" spans="1:5">
      <c r="A125" s="275" t="s">
        <v>310</v>
      </c>
      <c r="B125" s="276" t="s">
        <v>1333</v>
      </c>
      <c r="C125" s="277">
        <v>123.22659989999998</v>
      </c>
      <c r="D125" s="280">
        <v>20</v>
      </c>
      <c r="E125" s="279">
        <f t="shared" si="1"/>
        <v>0.33333333333333331</v>
      </c>
    </row>
    <row r="126" spans="1:5">
      <c r="A126" s="275" t="s">
        <v>145</v>
      </c>
      <c r="B126" s="276" t="s">
        <v>1334</v>
      </c>
      <c r="C126" s="277">
        <v>83.124019500000003</v>
      </c>
      <c r="D126" s="280">
        <v>20</v>
      </c>
      <c r="E126" s="279">
        <f t="shared" si="1"/>
        <v>0.33333333333333331</v>
      </c>
    </row>
    <row r="127" spans="1:5">
      <c r="A127" s="275" t="s">
        <v>311</v>
      </c>
      <c r="B127" s="276" t="s">
        <v>1335</v>
      </c>
      <c r="C127" s="277">
        <v>268.40809350000006</v>
      </c>
      <c r="D127" s="280">
        <v>20</v>
      </c>
      <c r="E127" s="279">
        <f t="shared" si="1"/>
        <v>0.33333333333333331</v>
      </c>
    </row>
    <row r="128" spans="1:5">
      <c r="A128" s="275" t="s">
        <v>313</v>
      </c>
      <c r="B128" s="276" t="s">
        <v>1336</v>
      </c>
      <c r="C128" s="277">
        <v>268.40809350000006</v>
      </c>
      <c r="D128" s="280">
        <v>20</v>
      </c>
      <c r="E128" s="279">
        <f t="shared" si="1"/>
        <v>0.33333333333333331</v>
      </c>
    </row>
    <row r="129" spans="1:5">
      <c r="A129" s="275" t="s">
        <v>554</v>
      </c>
      <c r="B129" s="276" t="s">
        <v>1337</v>
      </c>
      <c r="C129" s="277">
        <v>334.52658839999998</v>
      </c>
      <c r="D129" s="280">
        <v>20</v>
      </c>
      <c r="E129" s="279">
        <f t="shared" si="1"/>
        <v>0.33333333333333331</v>
      </c>
    </row>
    <row r="130" spans="1:5">
      <c r="A130" s="275" t="s">
        <v>556</v>
      </c>
      <c r="B130" s="276" t="s">
        <v>1338</v>
      </c>
      <c r="C130" s="277">
        <v>334.52658839999998</v>
      </c>
      <c r="D130" s="280">
        <v>20</v>
      </c>
      <c r="E130" s="279">
        <f t="shared" si="1"/>
        <v>0.33333333333333331</v>
      </c>
    </row>
    <row r="131" spans="1:5">
      <c r="A131" s="283" t="s">
        <v>315</v>
      </c>
      <c r="B131" s="276" t="s">
        <v>1339</v>
      </c>
      <c r="C131" s="277">
        <v>187.9491189</v>
      </c>
      <c r="D131" s="280">
        <v>20</v>
      </c>
      <c r="E131" s="279">
        <f t="shared" ref="E131:E194" si="2">D131/60</f>
        <v>0.33333333333333331</v>
      </c>
    </row>
    <row r="132" spans="1:5">
      <c r="A132" s="275" t="s">
        <v>147</v>
      </c>
      <c r="B132" s="276" t="s">
        <v>364</v>
      </c>
      <c r="C132" s="277">
        <v>165.23278379999999</v>
      </c>
      <c r="D132" s="280">
        <v>20</v>
      </c>
      <c r="E132" s="279">
        <f t="shared" si="2"/>
        <v>0.33333333333333331</v>
      </c>
    </row>
    <row r="133" spans="1:5">
      <c r="A133" s="275" t="s">
        <v>149</v>
      </c>
      <c r="B133" s="276" t="s">
        <v>1340</v>
      </c>
      <c r="C133" s="277">
        <v>261.17440019999998</v>
      </c>
      <c r="D133" s="280">
        <v>25</v>
      </c>
      <c r="E133" s="279">
        <f t="shared" si="2"/>
        <v>0.41666666666666669</v>
      </c>
    </row>
    <row r="134" spans="1:5">
      <c r="A134" s="275" t="s">
        <v>317</v>
      </c>
      <c r="B134" s="276" t="s">
        <v>1340</v>
      </c>
      <c r="C134" s="277">
        <v>261.17440019999998</v>
      </c>
      <c r="D134" s="280">
        <v>25</v>
      </c>
      <c r="E134" s="279">
        <f t="shared" si="2"/>
        <v>0.41666666666666669</v>
      </c>
    </row>
    <row r="135" spans="1:5">
      <c r="A135" s="275" t="s">
        <v>558</v>
      </c>
      <c r="B135" s="276" t="s">
        <v>1341</v>
      </c>
      <c r="C135" s="277">
        <v>261.17440019999998</v>
      </c>
      <c r="D135" s="280">
        <v>25</v>
      </c>
      <c r="E135" s="279">
        <f t="shared" si="2"/>
        <v>0.41666666666666669</v>
      </c>
    </row>
    <row r="136" spans="1:5">
      <c r="A136" s="275" t="s">
        <v>319</v>
      </c>
      <c r="B136" s="276" t="s">
        <v>1340</v>
      </c>
      <c r="C136" s="277">
        <v>208.12731600000001</v>
      </c>
      <c r="D136" s="280">
        <v>25</v>
      </c>
      <c r="E136" s="279">
        <f t="shared" si="2"/>
        <v>0.41666666666666669</v>
      </c>
    </row>
    <row r="137" spans="1:5">
      <c r="A137" s="275" t="s">
        <v>559</v>
      </c>
      <c r="B137" s="276" t="s">
        <v>1342</v>
      </c>
      <c r="C137" s="277">
        <v>208.12731600000001</v>
      </c>
      <c r="D137" s="280">
        <v>25</v>
      </c>
      <c r="E137" s="279">
        <f t="shared" si="2"/>
        <v>0.41666666666666669</v>
      </c>
    </row>
    <row r="138" spans="1:5">
      <c r="A138" s="283" t="s">
        <v>321</v>
      </c>
      <c r="B138" s="276" t="s">
        <v>1340</v>
      </c>
      <c r="C138" s="277">
        <v>269.04262800000004</v>
      </c>
      <c r="D138" s="280">
        <v>25</v>
      </c>
      <c r="E138" s="279">
        <f t="shared" si="2"/>
        <v>0.41666666666666669</v>
      </c>
    </row>
    <row r="139" spans="1:5">
      <c r="A139" s="275" t="s">
        <v>560</v>
      </c>
      <c r="B139" s="276" t="s">
        <v>1343</v>
      </c>
      <c r="C139" s="277">
        <v>159.7757871</v>
      </c>
      <c r="D139" s="280">
        <v>10</v>
      </c>
      <c r="E139" s="279">
        <f t="shared" si="2"/>
        <v>0.16666666666666666</v>
      </c>
    </row>
    <row r="140" spans="1:5">
      <c r="A140" s="275" t="s">
        <v>647</v>
      </c>
      <c r="B140" s="276" t="s">
        <v>1343</v>
      </c>
      <c r="C140" s="277">
        <v>165.86731830000002</v>
      </c>
      <c r="D140" s="280">
        <v>10</v>
      </c>
      <c r="E140" s="279">
        <f t="shared" si="2"/>
        <v>0.16666666666666666</v>
      </c>
    </row>
    <row r="141" spans="1:5">
      <c r="A141" s="275" t="s">
        <v>323</v>
      </c>
      <c r="B141" s="276" t="s">
        <v>1344</v>
      </c>
      <c r="C141" s="277">
        <v>130.33338629999997</v>
      </c>
      <c r="D141" s="280">
        <v>15</v>
      </c>
      <c r="E141" s="279">
        <f t="shared" si="2"/>
        <v>0.25</v>
      </c>
    </row>
    <row r="142" spans="1:5">
      <c r="A142" s="275" t="s">
        <v>562</v>
      </c>
      <c r="B142" s="276" t="s">
        <v>1345</v>
      </c>
      <c r="C142" s="277">
        <v>162.56773889999999</v>
      </c>
      <c r="D142" s="280">
        <v>15</v>
      </c>
      <c r="E142" s="279">
        <f t="shared" si="2"/>
        <v>0.25</v>
      </c>
    </row>
    <row r="143" spans="1:5">
      <c r="A143" s="275" t="s">
        <v>151</v>
      </c>
      <c r="B143" s="276" t="s">
        <v>1346</v>
      </c>
      <c r="C143" s="277">
        <v>77.540115899999989</v>
      </c>
      <c r="D143" s="280">
        <v>15</v>
      </c>
      <c r="E143" s="279">
        <f t="shared" si="2"/>
        <v>0.25</v>
      </c>
    </row>
    <row r="144" spans="1:5">
      <c r="A144" s="275" t="s">
        <v>564</v>
      </c>
      <c r="B144" s="276" t="s">
        <v>1344</v>
      </c>
      <c r="C144" s="277">
        <v>209.39638500000001</v>
      </c>
      <c r="D144" s="280">
        <v>15</v>
      </c>
      <c r="E144" s="279">
        <f t="shared" si="2"/>
        <v>0.25</v>
      </c>
    </row>
    <row r="145" spans="1:5">
      <c r="A145" s="275" t="s">
        <v>153</v>
      </c>
      <c r="B145" s="276" t="s">
        <v>1347</v>
      </c>
      <c r="C145" s="277">
        <v>100.5102648</v>
      </c>
      <c r="D145" s="280">
        <v>25</v>
      </c>
      <c r="E145" s="279">
        <f t="shared" si="2"/>
        <v>0.41666666666666669</v>
      </c>
    </row>
    <row r="146" spans="1:5">
      <c r="A146" s="275" t="s">
        <v>325</v>
      </c>
      <c r="B146" s="276" t="s">
        <v>1348</v>
      </c>
      <c r="C146" s="277">
        <v>31.219097399999999</v>
      </c>
      <c r="D146" s="280">
        <v>10</v>
      </c>
      <c r="E146" s="279">
        <f t="shared" si="2"/>
        <v>0.16666666666666666</v>
      </c>
    </row>
    <row r="147" spans="1:5">
      <c r="A147" s="275" t="s">
        <v>565</v>
      </c>
      <c r="B147" s="276" t="s">
        <v>1349</v>
      </c>
      <c r="C147" s="277">
        <v>152.6690007</v>
      </c>
      <c r="D147" s="280">
        <v>25</v>
      </c>
      <c r="E147" s="279">
        <f t="shared" si="2"/>
        <v>0.41666666666666669</v>
      </c>
    </row>
    <row r="148" spans="1:5">
      <c r="A148" s="275" t="s">
        <v>567</v>
      </c>
      <c r="B148" s="276" t="s">
        <v>1350</v>
      </c>
      <c r="C148" s="277">
        <v>181.85758769999998</v>
      </c>
      <c r="D148" s="280">
        <v>25</v>
      </c>
      <c r="E148" s="279">
        <f t="shared" si="2"/>
        <v>0.41666666666666669</v>
      </c>
    </row>
    <row r="149" spans="1:5">
      <c r="A149" s="275" t="s">
        <v>569</v>
      </c>
      <c r="B149" s="276" t="s">
        <v>1349</v>
      </c>
      <c r="C149" s="277">
        <v>285.540525</v>
      </c>
      <c r="D149" s="280">
        <v>25</v>
      </c>
      <c r="E149" s="279">
        <f t="shared" si="2"/>
        <v>0.41666666666666669</v>
      </c>
    </row>
    <row r="150" spans="1:5">
      <c r="A150" s="275" t="s">
        <v>571</v>
      </c>
      <c r="B150" s="276" t="s">
        <v>1350</v>
      </c>
      <c r="C150" s="277">
        <v>345.31367490000002</v>
      </c>
      <c r="D150" s="280">
        <v>25</v>
      </c>
      <c r="E150" s="279">
        <f t="shared" si="2"/>
        <v>0.41666666666666669</v>
      </c>
    </row>
    <row r="151" spans="1:5">
      <c r="A151" s="275" t="s">
        <v>155</v>
      </c>
      <c r="B151" s="276" t="s">
        <v>1351</v>
      </c>
      <c r="C151" s="277">
        <v>273.10364880000009</v>
      </c>
      <c r="D151" s="280">
        <v>25</v>
      </c>
      <c r="E151" s="279">
        <f t="shared" si="2"/>
        <v>0.41666666666666669</v>
      </c>
    </row>
    <row r="152" spans="1:5">
      <c r="A152" s="283" t="s">
        <v>327</v>
      </c>
      <c r="B152" s="276" t="s">
        <v>1351</v>
      </c>
      <c r="C152" s="277">
        <v>273.10364880000009</v>
      </c>
      <c r="D152" s="280">
        <v>25</v>
      </c>
      <c r="E152" s="279">
        <f t="shared" si="2"/>
        <v>0.41666666666666669</v>
      </c>
    </row>
    <row r="153" spans="1:5">
      <c r="A153" s="275" t="s">
        <v>573</v>
      </c>
      <c r="B153" s="276" t="s">
        <v>1352</v>
      </c>
      <c r="C153" s="277">
        <v>273.10364880000009</v>
      </c>
      <c r="D153" s="280">
        <v>25</v>
      </c>
      <c r="E153" s="279">
        <f t="shared" si="2"/>
        <v>0.41666666666666669</v>
      </c>
    </row>
    <row r="154" spans="1:5">
      <c r="A154" s="275" t="s">
        <v>329</v>
      </c>
      <c r="B154" s="276" t="s">
        <v>1351</v>
      </c>
      <c r="C154" s="277">
        <v>233.38178910000002</v>
      </c>
      <c r="D154" s="280">
        <v>25</v>
      </c>
      <c r="E154" s="279">
        <f t="shared" si="2"/>
        <v>0.41666666666666669</v>
      </c>
    </row>
    <row r="155" spans="1:5">
      <c r="A155" s="275" t="s">
        <v>574</v>
      </c>
      <c r="B155" s="276" t="s">
        <v>1353</v>
      </c>
      <c r="C155" s="277">
        <v>233.38178910000002</v>
      </c>
      <c r="D155" s="280">
        <v>25</v>
      </c>
      <c r="E155" s="279">
        <f t="shared" si="2"/>
        <v>0.41666666666666669</v>
      </c>
    </row>
    <row r="156" spans="1:5">
      <c r="A156" s="275" t="s">
        <v>331</v>
      </c>
      <c r="B156" s="276" t="s">
        <v>1351</v>
      </c>
      <c r="C156" s="277">
        <v>305.46490829999999</v>
      </c>
      <c r="D156" s="280">
        <v>25</v>
      </c>
      <c r="E156" s="279">
        <f t="shared" si="2"/>
        <v>0.41666666666666669</v>
      </c>
    </row>
    <row r="157" spans="1:5">
      <c r="A157" s="275" t="s">
        <v>333</v>
      </c>
      <c r="B157" s="276" t="s">
        <v>1354</v>
      </c>
      <c r="C157" s="277">
        <v>102.5407752</v>
      </c>
      <c r="D157" s="280">
        <v>15</v>
      </c>
      <c r="E157" s="279">
        <f t="shared" si="2"/>
        <v>0.25</v>
      </c>
    </row>
    <row r="158" spans="1:5">
      <c r="A158" s="275" t="s">
        <v>575</v>
      </c>
      <c r="B158" s="276" t="s">
        <v>1355</v>
      </c>
      <c r="C158" s="277">
        <v>72.210026099999993</v>
      </c>
      <c r="D158" s="280">
        <v>15</v>
      </c>
      <c r="E158" s="279">
        <f t="shared" si="2"/>
        <v>0.25</v>
      </c>
    </row>
    <row r="159" spans="1:5">
      <c r="A159" s="275" t="s">
        <v>157</v>
      </c>
      <c r="B159" s="276" t="s">
        <v>1356</v>
      </c>
      <c r="C159" s="277">
        <v>72.971467500000003</v>
      </c>
      <c r="D159" s="280">
        <v>15</v>
      </c>
      <c r="E159" s="279">
        <f t="shared" si="2"/>
        <v>0.25</v>
      </c>
    </row>
    <row r="160" spans="1:5">
      <c r="A160" s="275" t="s">
        <v>577</v>
      </c>
      <c r="B160" s="276" t="s">
        <v>1357</v>
      </c>
      <c r="C160" s="277">
        <v>176.9082186</v>
      </c>
      <c r="D160" s="280">
        <v>20</v>
      </c>
      <c r="E160" s="279">
        <f t="shared" si="2"/>
        <v>0.33333333333333331</v>
      </c>
    </row>
    <row r="161" spans="1:5">
      <c r="A161" s="275" t="s">
        <v>649</v>
      </c>
      <c r="B161" s="276" t="s">
        <v>1358</v>
      </c>
      <c r="C161" s="277">
        <v>191.88323279999997</v>
      </c>
      <c r="D161" s="280">
        <v>20</v>
      </c>
      <c r="E161" s="279">
        <f t="shared" si="2"/>
        <v>0.33333333333333331</v>
      </c>
    </row>
    <row r="162" spans="1:5">
      <c r="A162" s="275" t="s">
        <v>651</v>
      </c>
      <c r="B162" s="276" t="s">
        <v>1359</v>
      </c>
      <c r="C162" s="277">
        <v>234.27013740000001</v>
      </c>
      <c r="D162" s="280">
        <v>20</v>
      </c>
      <c r="E162" s="279">
        <f t="shared" si="2"/>
        <v>0.33333333333333331</v>
      </c>
    </row>
    <row r="163" spans="1:5">
      <c r="A163" s="275" t="s">
        <v>335</v>
      </c>
      <c r="B163" s="276" t="s">
        <v>1360</v>
      </c>
      <c r="C163" s="277">
        <v>146.95819019999999</v>
      </c>
      <c r="D163" s="280">
        <v>15</v>
      </c>
      <c r="E163" s="279">
        <f t="shared" si="2"/>
        <v>0.25</v>
      </c>
    </row>
    <row r="164" spans="1:5">
      <c r="A164" s="275" t="s">
        <v>832</v>
      </c>
      <c r="B164" s="276" t="s">
        <v>1361</v>
      </c>
      <c r="C164" s="277">
        <v>92.895850800000005</v>
      </c>
      <c r="D164" s="280">
        <v>10</v>
      </c>
      <c r="E164" s="279">
        <f t="shared" si="2"/>
        <v>0.16666666666666666</v>
      </c>
    </row>
    <row r="165" spans="1:5">
      <c r="A165" s="275" t="s">
        <v>834</v>
      </c>
      <c r="B165" s="276" t="s">
        <v>1362</v>
      </c>
      <c r="C165" s="277">
        <v>109.64756160000002</v>
      </c>
      <c r="D165" s="280">
        <v>10</v>
      </c>
      <c r="E165" s="279">
        <f t="shared" si="2"/>
        <v>0.16666666666666666</v>
      </c>
    </row>
    <row r="166" spans="1:5">
      <c r="A166" s="275" t="s">
        <v>159</v>
      </c>
      <c r="B166" s="276" t="s">
        <v>1363</v>
      </c>
      <c r="C166" s="277">
        <v>111.67807199999997</v>
      </c>
      <c r="D166" s="280">
        <v>25</v>
      </c>
      <c r="E166" s="279">
        <f t="shared" si="2"/>
        <v>0.41666666666666669</v>
      </c>
    </row>
    <row r="167" spans="1:5">
      <c r="A167" s="275" t="s">
        <v>579</v>
      </c>
      <c r="B167" s="276" t="s">
        <v>1364</v>
      </c>
      <c r="C167" s="277">
        <v>151.78065240000001</v>
      </c>
      <c r="D167" s="280">
        <v>25</v>
      </c>
      <c r="E167" s="279">
        <f t="shared" si="2"/>
        <v>0.41666666666666669</v>
      </c>
    </row>
    <row r="168" spans="1:5">
      <c r="A168" s="275" t="s">
        <v>838</v>
      </c>
      <c r="B168" s="276" t="s">
        <v>892</v>
      </c>
      <c r="C168" s="277">
        <v>28.046424899999998</v>
      </c>
      <c r="D168" s="280">
        <v>5</v>
      </c>
      <c r="E168" s="279">
        <f t="shared" si="2"/>
        <v>8.3333333333333329E-2</v>
      </c>
    </row>
    <row r="169" spans="1:5">
      <c r="A169" s="283" t="s">
        <v>337</v>
      </c>
      <c r="B169" s="276" t="s">
        <v>1363</v>
      </c>
      <c r="C169" s="277">
        <v>162.69464580000002</v>
      </c>
      <c r="D169" s="280">
        <v>25</v>
      </c>
      <c r="E169" s="279">
        <f t="shared" si="2"/>
        <v>0.41666666666666669</v>
      </c>
    </row>
    <row r="170" spans="1:5">
      <c r="A170" s="275" t="s">
        <v>840</v>
      </c>
      <c r="B170" s="276" t="s">
        <v>1365</v>
      </c>
      <c r="C170" s="277">
        <v>343.2831645</v>
      </c>
      <c r="D170" s="280">
        <v>25</v>
      </c>
      <c r="E170" s="279">
        <f t="shared" si="2"/>
        <v>0.41666666666666669</v>
      </c>
    </row>
    <row r="171" spans="1:5">
      <c r="A171" s="275" t="s">
        <v>842</v>
      </c>
      <c r="B171" s="276" t="s">
        <v>1366</v>
      </c>
      <c r="C171" s="277">
        <v>38.198976899999998</v>
      </c>
      <c r="D171" s="280">
        <v>15</v>
      </c>
      <c r="E171" s="279">
        <f t="shared" si="2"/>
        <v>0.25</v>
      </c>
    </row>
    <row r="172" spans="1:5">
      <c r="A172" s="275" t="s">
        <v>850</v>
      </c>
      <c r="B172" s="276" t="s">
        <v>1365</v>
      </c>
      <c r="C172" s="277">
        <v>385.1624415</v>
      </c>
      <c r="D172" s="280">
        <v>30</v>
      </c>
      <c r="E172" s="279">
        <f t="shared" si="2"/>
        <v>0.5</v>
      </c>
    </row>
    <row r="173" spans="1:5">
      <c r="A173" s="275" t="s">
        <v>854</v>
      </c>
      <c r="B173" s="276" t="s">
        <v>1367</v>
      </c>
      <c r="C173" s="277">
        <v>385.1624415</v>
      </c>
      <c r="D173" s="280">
        <v>30</v>
      </c>
      <c r="E173" s="279">
        <f t="shared" si="2"/>
        <v>0.5</v>
      </c>
    </row>
    <row r="174" spans="1:5">
      <c r="A174" s="275" t="s">
        <v>858</v>
      </c>
      <c r="B174" s="276" t="s">
        <v>1367</v>
      </c>
      <c r="C174" s="277">
        <v>343.2831645</v>
      </c>
      <c r="D174" s="280">
        <v>30</v>
      </c>
      <c r="E174" s="279">
        <f t="shared" si="2"/>
        <v>0.5</v>
      </c>
    </row>
    <row r="175" spans="1:5">
      <c r="A175" s="275" t="s">
        <v>860</v>
      </c>
      <c r="B175" s="276" t="s">
        <v>1368</v>
      </c>
      <c r="C175" s="277">
        <v>362.06538570000004</v>
      </c>
      <c r="D175" s="280">
        <v>30</v>
      </c>
      <c r="E175" s="279">
        <f t="shared" si="2"/>
        <v>0.5</v>
      </c>
    </row>
    <row r="176" spans="1:5">
      <c r="A176" s="275" t="s">
        <v>1369</v>
      </c>
      <c r="B176" s="276" t="s">
        <v>1370</v>
      </c>
      <c r="C176" s="277">
        <v>708.90194339999994</v>
      </c>
      <c r="D176" s="280">
        <v>30</v>
      </c>
      <c r="E176" s="279">
        <f t="shared" si="2"/>
        <v>0.5</v>
      </c>
    </row>
    <row r="177" spans="1:5">
      <c r="A177" s="275" t="s">
        <v>1371</v>
      </c>
      <c r="B177" s="276" t="s">
        <v>1372</v>
      </c>
      <c r="C177" s="277">
        <v>708.90194339999994</v>
      </c>
      <c r="D177" s="280">
        <v>30</v>
      </c>
      <c r="E177" s="279">
        <f t="shared" si="2"/>
        <v>0.5</v>
      </c>
    </row>
    <row r="178" spans="1:5">
      <c r="A178" s="275" t="s">
        <v>869</v>
      </c>
      <c r="B178" s="276" t="s">
        <v>1373</v>
      </c>
      <c r="C178" s="277">
        <v>38.072069999999997</v>
      </c>
      <c r="D178" s="280">
        <v>15</v>
      </c>
      <c r="E178" s="279">
        <f t="shared" si="2"/>
        <v>0.25</v>
      </c>
    </row>
    <row r="179" spans="1:5">
      <c r="A179" s="275" t="s">
        <v>339</v>
      </c>
      <c r="B179" s="276" t="s">
        <v>1364</v>
      </c>
      <c r="C179" s="277">
        <v>254.19452070000003</v>
      </c>
      <c r="D179" s="280">
        <v>30</v>
      </c>
      <c r="E179" s="279">
        <f t="shared" si="2"/>
        <v>0.5</v>
      </c>
    </row>
    <row r="180" spans="1:5">
      <c r="A180" s="275" t="s">
        <v>872</v>
      </c>
      <c r="B180" s="275" t="s">
        <v>1374</v>
      </c>
      <c r="C180" s="281">
        <v>1013.0977827</v>
      </c>
      <c r="D180" s="282">
        <v>30</v>
      </c>
      <c r="E180" s="279">
        <f t="shared" si="2"/>
        <v>0.5</v>
      </c>
    </row>
    <row r="181" spans="1:5">
      <c r="A181" s="275" t="s">
        <v>874</v>
      </c>
      <c r="B181" s="275" t="s">
        <v>1375</v>
      </c>
      <c r="C181" s="281">
        <v>1013.0977827</v>
      </c>
      <c r="D181" s="282">
        <v>30</v>
      </c>
      <c r="E181" s="279">
        <f t="shared" si="2"/>
        <v>0.5</v>
      </c>
    </row>
    <row r="182" spans="1:5">
      <c r="A182" s="275" t="s">
        <v>877</v>
      </c>
      <c r="B182" s="275" t="s">
        <v>1376</v>
      </c>
      <c r="C182" s="281">
        <v>1180.8687044999999</v>
      </c>
      <c r="D182" s="282">
        <v>30</v>
      </c>
      <c r="E182" s="279">
        <f t="shared" si="2"/>
        <v>0.5</v>
      </c>
    </row>
    <row r="183" spans="1:5">
      <c r="A183" s="275" t="s">
        <v>879</v>
      </c>
      <c r="B183" s="275" t="s">
        <v>1377</v>
      </c>
      <c r="C183" s="281">
        <v>1180.8687044999999</v>
      </c>
      <c r="D183" s="282">
        <v>30</v>
      </c>
      <c r="E183" s="279">
        <f t="shared" si="2"/>
        <v>0.5</v>
      </c>
    </row>
    <row r="184" spans="1:5">
      <c r="A184" s="275" t="s">
        <v>875</v>
      </c>
      <c r="B184" s="275" t="s">
        <v>1378</v>
      </c>
      <c r="C184" s="281">
        <v>1117.4152544999999</v>
      </c>
      <c r="D184" s="282">
        <v>30</v>
      </c>
      <c r="E184" s="279">
        <f t="shared" si="2"/>
        <v>0.5</v>
      </c>
    </row>
    <row r="185" spans="1:5">
      <c r="A185" s="275" t="s">
        <v>876</v>
      </c>
      <c r="B185" s="275" t="s">
        <v>1379</v>
      </c>
      <c r="C185" s="281">
        <v>1117.4152544999999</v>
      </c>
      <c r="D185" s="282">
        <v>30</v>
      </c>
      <c r="E185" s="279">
        <f t="shared" si="2"/>
        <v>0.5</v>
      </c>
    </row>
    <row r="186" spans="1:5">
      <c r="A186" s="275" t="s">
        <v>880</v>
      </c>
      <c r="B186" s="275" t="s">
        <v>1380</v>
      </c>
      <c r="C186" s="281">
        <v>31.726725000000002</v>
      </c>
      <c r="D186" s="282">
        <v>10</v>
      </c>
      <c r="E186" s="279">
        <f t="shared" si="2"/>
        <v>0.16666666666666666</v>
      </c>
    </row>
    <row r="187" spans="1:5">
      <c r="A187" s="275" t="s">
        <v>581</v>
      </c>
      <c r="B187" s="275" t="s">
        <v>1364</v>
      </c>
      <c r="C187" s="281">
        <v>306.22634970000001</v>
      </c>
      <c r="D187" s="282">
        <v>25</v>
      </c>
      <c r="E187" s="279">
        <f t="shared" si="2"/>
        <v>0.41666666666666669</v>
      </c>
    </row>
    <row r="188" spans="1:5">
      <c r="A188" s="275" t="s">
        <v>583</v>
      </c>
      <c r="B188" s="276" t="s">
        <v>1364</v>
      </c>
      <c r="C188" s="277">
        <v>223.73686470000004</v>
      </c>
      <c r="D188" s="282">
        <v>25</v>
      </c>
      <c r="E188" s="279">
        <f t="shared" si="2"/>
        <v>0.41666666666666669</v>
      </c>
    </row>
    <row r="189" spans="1:5">
      <c r="A189" s="275" t="s">
        <v>653</v>
      </c>
      <c r="B189" s="276" t="s">
        <v>1364</v>
      </c>
      <c r="C189" s="277">
        <v>328.8157779</v>
      </c>
      <c r="D189" s="282">
        <v>25</v>
      </c>
      <c r="E189" s="279">
        <f t="shared" si="2"/>
        <v>0.41666666666666669</v>
      </c>
    </row>
    <row r="190" spans="1:5">
      <c r="A190" s="275" t="s">
        <v>161</v>
      </c>
      <c r="B190" s="276" t="s">
        <v>162</v>
      </c>
      <c r="C190" s="277">
        <v>174.75080129999998</v>
      </c>
      <c r="D190" s="282">
        <v>25</v>
      </c>
      <c r="E190" s="279">
        <f t="shared" si="2"/>
        <v>0.41666666666666669</v>
      </c>
    </row>
    <row r="191" spans="1:5">
      <c r="A191" s="275" t="s">
        <v>341</v>
      </c>
      <c r="B191" s="276" t="s">
        <v>1309</v>
      </c>
      <c r="C191" s="277">
        <v>62.311287900000004</v>
      </c>
      <c r="D191" s="280">
        <v>15</v>
      </c>
      <c r="E191" s="279">
        <f t="shared" si="2"/>
        <v>0.25</v>
      </c>
    </row>
    <row r="192" spans="1:5">
      <c r="A192" s="275" t="s">
        <v>585</v>
      </c>
      <c r="B192" s="276" t="s">
        <v>1364</v>
      </c>
      <c r="C192" s="277">
        <v>336.93781949999999</v>
      </c>
      <c r="D192" s="280">
        <v>25</v>
      </c>
      <c r="E192" s="279">
        <f t="shared" si="2"/>
        <v>0.41666666666666669</v>
      </c>
    </row>
    <row r="193" spans="1:5">
      <c r="A193" s="275" t="s">
        <v>889</v>
      </c>
      <c r="B193" s="276" t="s">
        <v>892</v>
      </c>
      <c r="C193" s="277">
        <v>30.330749099999995</v>
      </c>
      <c r="D193" s="280">
        <v>10</v>
      </c>
      <c r="E193" s="279">
        <f t="shared" si="2"/>
        <v>0.16666666666666666</v>
      </c>
    </row>
    <row r="194" spans="1:5">
      <c r="A194" s="275" t="s">
        <v>344</v>
      </c>
      <c r="B194" s="276" t="s">
        <v>1381</v>
      </c>
      <c r="C194" s="277">
        <v>294.04328730000003</v>
      </c>
      <c r="D194" s="280">
        <v>25</v>
      </c>
      <c r="E194" s="279">
        <f t="shared" si="2"/>
        <v>0.41666666666666669</v>
      </c>
    </row>
    <row r="195" spans="1:5">
      <c r="A195" s="275" t="s">
        <v>346</v>
      </c>
      <c r="B195" s="276" t="s">
        <v>1381</v>
      </c>
      <c r="C195" s="277">
        <v>204.70082970000004</v>
      </c>
      <c r="D195" s="280">
        <v>25</v>
      </c>
      <c r="E195" s="279">
        <f t="shared" ref="E195:E258" si="3">D195/60</f>
        <v>0.41666666666666669</v>
      </c>
    </row>
    <row r="196" spans="1:5">
      <c r="A196" s="275" t="s">
        <v>891</v>
      </c>
      <c r="B196" s="276" t="s">
        <v>1380</v>
      </c>
      <c r="C196" s="277">
        <v>31.726725000000002</v>
      </c>
      <c r="D196" s="280">
        <v>10</v>
      </c>
      <c r="E196" s="279">
        <f t="shared" si="3"/>
        <v>0.16666666666666666</v>
      </c>
    </row>
    <row r="197" spans="1:5">
      <c r="A197" s="275" t="s">
        <v>893</v>
      </c>
      <c r="B197" s="276" t="s">
        <v>1382</v>
      </c>
      <c r="C197" s="277">
        <v>28.173331799999996</v>
      </c>
      <c r="D197" s="280">
        <v>10</v>
      </c>
      <c r="E197" s="279">
        <f t="shared" si="3"/>
        <v>0.16666666666666666</v>
      </c>
    </row>
    <row r="198" spans="1:5">
      <c r="A198" s="275" t="s">
        <v>899</v>
      </c>
      <c r="B198" s="276" t="s">
        <v>1383</v>
      </c>
      <c r="C198" s="277">
        <v>115.73909279999998</v>
      </c>
      <c r="D198" s="280">
        <v>25</v>
      </c>
      <c r="E198" s="279">
        <f t="shared" si="3"/>
        <v>0.41666666666666669</v>
      </c>
    </row>
    <row r="199" spans="1:5">
      <c r="A199" s="275" t="s">
        <v>348</v>
      </c>
      <c r="B199" s="276" t="s">
        <v>1381</v>
      </c>
      <c r="C199" s="277">
        <v>294.93163559999999</v>
      </c>
      <c r="D199" s="280">
        <v>25</v>
      </c>
      <c r="E199" s="279">
        <f t="shared" si="3"/>
        <v>0.41666666666666669</v>
      </c>
    </row>
    <row r="200" spans="1:5">
      <c r="A200" s="275" t="s">
        <v>350</v>
      </c>
      <c r="B200" s="276" t="s">
        <v>1384</v>
      </c>
      <c r="C200" s="277">
        <v>328.18124340000003</v>
      </c>
      <c r="D200" s="280">
        <v>25</v>
      </c>
      <c r="E200" s="279">
        <f t="shared" si="3"/>
        <v>0.41666666666666669</v>
      </c>
    </row>
    <row r="201" spans="1:5">
      <c r="A201" s="275" t="s">
        <v>352</v>
      </c>
      <c r="B201" s="276" t="s">
        <v>1381</v>
      </c>
      <c r="C201" s="277">
        <v>404.57919720000007</v>
      </c>
      <c r="D201" s="280">
        <v>25</v>
      </c>
      <c r="E201" s="279">
        <f t="shared" si="3"/>
        <v>0.41666666666666669</v>
      </c>
    </row>
    <row r="202" spans="1:5">
      <c r="A202" s="275" t="s">
        <v>901</v>
      </c>
      <c r="B202" s="276" t="s">
        <v>1385</v>
      </c>
      <c r="C202" s="277">
        <v>227.03644410000001</v>
      </c>
      <c r="D202" s="280">
        <v>25</v>
      </c>
      <c r="E202" s="279">
        <f t="shared" si="3"/>
        <v>0.41666666666666669</v>
      </c>
    </row>
    <row r="203" spans="1:5">
      <c r="A203" s="275" t="s">
        <v>587</v>
      </c>
      <c r="B203" s="276" t="s">
        <v>1381</v>
      </c>
      <c r="C203" s="277">
        <v>476.40850260000002</v>
      </c>
      <c r="D203" s="280">
        <v>25</v>
      </c>
      <c r="E203" s="279">
        <f t="shared" si="3"/>
        <v>0.41666666666666669</v>
      </c>
    </row>
    <row r="204" spans="1:5">
      <c r="A204" s="275" t="s">
        <v>589</v>
      </c>
      <c r="B204" s="276" t="s">
        <v>1381</v>
      </c>
      <c r="C204" s="277">
        <v>520.19138309999994</v>
      </c>
      <c r="D204" s="280">
        <v>25</v>
      </c>
      <c r="E204" s="279">
        <f t="shared" si="3"/>
        <v>0.41666666666666669</v>
      </c>
    </row>
    <row r="205" spans="1:5">
      <c r="A205" s="275" t="s">
        <v>163</v>
      </c>
      <c r="B205" s="276" t="s">
        <v>1331</v>
      </c>
      <c r="C205" s="277">
        <v>79.697533199999995</v>
      </c>
      <c r="D205" s="280">
        <v>25</v>
      </c>
      <c r="E205" s="279">
        <f t="shared" si="3"/>
        <v>0.41666666666666669</v>
      </c>
    </row>
    <row r="206" spans="1:5">
      <c r="A206" s="283" t="s">
        <v>354</v>
      </c>
      <c r="B206" s="276" t="s">
        <v>1386</v>
      </c>
      <c r="C206" s="277">
        <v>500.52081359999988</v>
      </c>
      <c r="D206" s="280">
        <v>25</v>
      </c>
      <c r="E206" s="279">
        <f t="shared" si="3"/>
        <v>0.41666666666666669</v>
      </c>
    </row>
    <row r="207" spans="1:5">
      <c r="A207" s="275" t="s">
        <v>903</v>
      </c>
      <c r="B207" s="276" t="s">
        <v>1387</v>
      </c>
      <c r="C207" s="277">
        <v>248.22989640000003</v>
      </c>
      <c r="D207" s="280">
        <v>25</v>
      </c>
      <c r="E207" s="279">
        <f t="shared" si="3"/>
        <v>0.41666666666666669</v>
      </c>
    </row>
    <row r="208" spans="1:5">
      <c r="A208" s="275" t="s">
        <v>907</v>
      </c>
      <c r="B208" s="276" t="s">
        <v>1388</v>
      </c>
      <c r="C208" s="277">
        <v>30.330749100000002</v>
      </c>
      <c r="D208" s="280">
        <v>10</v>
      </c>
      <c r="E208" s="279">
        <f t="shared" si="3"/>
        <v>0.16666666666666666</v>
      </c>
    </row>
    <row r="209" spans="1:5">
      <c r="A209" s="275" t="s">
        <v>591</v>
      </c>
      <c r="B209" s="276" t="s">
        <v>1389</v>
      </c>
      <c r="C209" s="277">
        <v>512.19624839999994</v>
      </c>
      <c r="D209" s="280">
        <v>25</v>
      </c>
      <c r="E209" s="279">
        <f t="shared" si="3"/>
        <v>0.41666666666666669</v>
      </c>
    </row>
    <row r="210" spans="1:5">
      <c r="A210" s="275" t="s">
        <v>356</v>
      </c>
      <c r="B210" s="276" t="s">
        <v>1389</v>
      </c>
      <c r="C210" s="277">
        <v>539.10051119999991</v>
      </c>
      <c r="D210" s="280">
        <v>25</v>
      </c>
      <c r="E210" s="279">
        <f t="shared" si="3"/>
        <v>0.41666666666666669</v>
      </c>
    </row>
    <row r="211" spans="1:5">
      <c r="A211" s="275" t="s">
        <v>165</v>
      </c>
      <c r="B211" s="276" t="s">
        <v>1331</v>
      </c>
      <c r="C211" s="277">
        <v>249.6258723</v>
      </c>
      <c r="D211" s="280">
        <v>30</v>
      </c>
      <c r="E211" s="279">
        <f t="shared" si="3"/>
        <v>0.5</v>
      </c>
    </row>
    <row r="212" spans="1:5">
      <c r="A212" s="283" t="s">
        <v>100</v>
      </c>
      <c r="B212" s="276" t="s">
        <v>1390</v>
      </c>
      <c r="C212" s="277">
        <v>17.005524600000001</v>
      </c>
      <c r="D212" s="280">
        <v>15</v>
      </c>
      <c r="E212" s="279">
        <f t="shared" si="3"/>
        <v>0.25</v>
      </c>
    </row>
    <row r="213" spans="1:5">
      <c r="A213" s="275" t="s">
        <v>358</v>
      </c>
      <c r="B213" s="276" t="s">
        <v>1391</v>
      </c>
      <c r="C213" s="277">
        <v>146.0698419</v>
      </c>
      <c r="D213" s="280">
        <v>15</v>
      </c>
      <c r="E213" s="279">
        <f t="shared" si="3"/>
        <v>0.25</v>
      </c>
    </row>
    <row r="214" spans="1:5">
      <c r="A214" s="275" t="s">
        <v>360</v>
      </c>
      <c r="B214" s="276" t="s">
        <v>1390</v>
      </c>
      <c r="C214" s="277">
        <v>42.006183899999996</v>
      </c>
      <c r="D214" s="280">
        <v>15</v>
      </c>
      <c r="E214" s="279">
        <f t="shared" si="3"/>
        <v>0.25</v>
      </c>
    </row>
    <row r="215" spans="1:5">
      <c r="A215" s="275" t="s">
        <v>909</v>
      </c>
      <c r="B215" s="276" t="s">
        <v>1392</v>
      </c>
      <c r="C215" s="277">
        <v>18.401500500000001</v>
      </c>
      <c r="D215" s="280">
        <v>15</v>
      </c>
      <c r="E215" s="279">
        <f t="shared" si="3"/>
        <v>0.25</v>
      </c>
    </row>
    <row r="216" spans="1:5">
      <c r="A216" s="275" t="s">
        <v>102</v>
      </c>
      <c r="B216" s="276" t="s">
        <v>1390</v>
      </c>
      <c r="C216" s="277">
        <v>16.751710800000001</v>
      </c>
      <c r="D216" s="280">
        <v>15</v>
      </c>
      <c r="E216" s="279">
        <f t="shared" si="3"/>
        <v>0.25</v>
      </c>
    </row>
    <row r="217" spans="1:5">
      <c r="A217" s="275" t="s">
        <v>911</v>
      </c>
      <c r="B217" s="276" t="s">
        <v>1393</v>
      </c>
      <c r="C217" s="277">
        <v>34.518676799999994</v>
      </c>
      <c r="D217" s="280">
        <v>15</v>
      </c>
      <c r="E217" s="279">
        <f t="shared" si="3"/>
        <v>0.25</v>
      </c>
    </row>
    <row r="218" spans="1:5">
      <c r="A218" s="275" t="s">
        <v>913</v>
      </c>
      <c r="B218" s="276" t="s">
        <v>1394</v>
      </c>
      <c r="C218" s="277">
        <v>40.990928700000005</v>
      </c>
      <c r="D218" s="280">
        <v>15</v>
      </c>
      <c r="E218" s="279">
        <f t="shared" si="3"/>
        <v>0.25</v>
      </c>
    </row>
    <row r="219" spans="1:5">
      <c r="A219" s="275" t="s">
        <v>362</v>
      </c>
      <c r="B219" s="276" t="s">
        <v>1395</v>
      </c>
      <c r="C219" s="277">
        <v>56.981198100000007</v>
      </c>
      <c r="D219" s="280">
        <v>15</v>
      </c>
      <c r="E219" s="279">
        <f t="shared" si="3"/>
        <v>0.25</v>
      </c>
    </row>
    <row r="220" spans="1:5">
      <c r="A220" s="275" t="s">
        <v>363</v>
      </c>
      <c r="B220" s="276" t="s">
        <v>364</v>
      </c>
      <c r="C220" s="277">
        <v>84.773809199999988</v>
      </c>
      <c r="D220" s="280">
        <v>15</v>
      </c>
      <c r="E220" s="279">
        <f t="shared" si="3"/>
        <v>0.25</v>
      </c>
    </row>
    <row r="221" spans="1:5">
      <c r="A221" s="283" t="s">
        <v>365</v>
      </c>
      <c r="B221" s="276" t="s">
        <v>1309</v>
      </c>
      <c r="C221" s="277">
        <v>74.367443399999985</v>
      </c>
      <c r="D221" s="280">
        <v>15</v>
      </c>
      <c r="E221" s="279">
        <f t="shared" si="3"/>
        <v>0.25</v>
      </c>
    </row>
    <row r="222" spans="1:5">
      <c r="A222" s="275" t="s">
        <v>367</v>
      </c>
      <c r="B222" s="276" t="s">
        <v>1284</v>
      </c>
      <c r="C222" s="277">
        <v>139.21686930000001</v>
      </c>
      <c r="D222" s="280">
        <v>15</v>
      </c>
      <c r="E222" s="279">
        <f t="shared" si="3"/>
        <v>0.25</v>
      </c>
    </row>
    <row r="223" spans="1:5">
      <c r="A223" s="275" t="s">
        <v>369</v>
      </c>
      <c r="B223" s="276" t="s">
        <v>1284</v>
      </c>
      <c r="C223" s="277">
        <v>189.8527224</v>
      </c>
      <c r="D223" s="280">
        <v>15</v>
      </c>
      <c r="E223" s="279">
        <f t="shared" si="3"/>
        <v>0.25</v>
      </c>
    </row>
    <row r="224" spans="1:5">
      <c r="A224" s="275" t="s">
        <v>593</v>
      </c>
      <c r="B224" s="276" t="s">
        <v>1305</v>
      </c>
      <c r="C224" s="277">
        <v>239.09259960000003</v>
      </c>
      <c r="D224" s="280">
        <v>15</v>
      </c>
      <c r="E224" s="279">
        <f t="shared" si="3"/>
        <v>0.25</v>
      </c>
    </row>
    <row r="225" spans="1:5">
      <c r="A225" s="275" t="s">
        <v>915</v>
      </c>
      <c r="B225" s="276" t="s">
        <v>1396</v>
      </c>
      <c r="C225" s="277">
        <v>31.472911200000002</v>
      </c>
      <c r="D225" s="280">
        <v>15</v>
      </c>
      <c r="E225" s="279">
        <f t="shared" si="3"/>
        <v>0.25</v>
      </c>
    </row>
    <row r="226" spans="1:5">
      <c r="A226" s="275" t="s">
        <v>371</v>
      </c>
      <c r="B226" s="276" t="s">
        <v>160</v>
      </c>
      <c r="C226" s="277">
        <v>219.29512320000003</v>
      </c>
      <c r="D226" s="280">
        <v>15</v>
      </c>
      <c r="E226" s="279">
        <f t="shared" si="3"/>
        <v>0.25</v>
      </c>
    </row>
    <row r="227" spans="1:5">
      <c r="A227" s="275" t="s">
        <v>917</v>
      </c>
      <c r="B227" s="276" t="s">
        <v>1396</v>
      </c>
      <c r="C227" s="277">
        <v>25.1275662</v>
      </c>
      <c r="D227" s="280">
        <v>15</v>
      </c>
      <c r="E227" s="279">
        <f t="shared" si="3"/>
        <v>0.25</v>
      </c>
    </row>
    <row r="228" spans="1:5">
      <c r="A228" s="275" t="s">
        <v>595</v>
      </c>
      <c r="B228" s="276" t="s">
        <v>1397</v>
      </c>
      <c r="C228" s="277">
        <v>284.14454910000001</v>
      </c>
      <c r="D228" s="280">
        <v>15</v>
      </c>
      <c r="E228" s="279">
        <f t="shared" si="3"/>
        <v>0.25</v>
      </c>
    </row>
    <row r="229" spans="1:5">
      <c r="A229" s="275" t="s">
        <v>373</v>
      </c>
      <c r="B229" s="276" t="s">
        <v>1398</v>
      </c>
      <c r="C229" s="277">
        <v>27.284983499999999</v>
      </c>
      <c r="D229" s="280">
        <v>15</v>
      </c>
      <c r="E229" s="279">
        <f t="shared" si="3"/>
        <v>0.25</v>
      </c>
    </row>
    <row r="230" spans="1:5">
      <c r="A230" s="275" t="s">
        <v>375</v>
      </c>
      <c r="B230" s="276" t="s">
        <v>1309</v>
      </c>
      <c r="C230" s="277">
        <v>90.865340400000008</v>
      </c>
      <c r="D230" s="280">
        <v>15</v>
      </c>
      <c r="E230" s="279">
        <f t="shared" si="3"/>
        <v>0.25</v>
      </c>
    </row>
    <row r="231" spans="1:5">
      <c r="A231" s="275" t="s">
        <v>1399</v>
      </c>
      <c r="B231" s="276" t="s">
        <v>1400</v>
      </c>
      <c r="C231" s="277">
        <v>32.48816639999999</v>
      </c>
      <c r="D231" s="280">
        <v>15</v>
      </c>
      <c r="E231" s="279">
        <f t="shared" si="3"/>
        <v>0.25</v>
      </c>
    </row>
    <row r="232" spans="1:5">
      <c r="A232" s="283" t="s">
        <v>597</v>
      </c>
      <c r="B232" s="276" t="s">
        <v>1401</v>
      </c>
      <c r="C232" s="277">
        <v>456.99174689999995</v>
      </c>
      <c r="D232" s="280">
        <v>25</v>
      </c>
      <c r="E232" s="279">
        <f t="shared" si="3"/>
        <v>0.41666666666666669</v>
      </c>
    </row>
    <row r="233" spans="1:5">
      <c r="A233" s="275" t="s">
        <v>919</v>
      </c>
      <c r="B233" s="276" t="s">
        <v>1396</v>
      </c>
      <c r="C233" s="277">
        <v>33.122700899999998</v>
      </c>
      <c r="D233" s="280">
        <v>10</v>
      </c>
      <c r="E233" s="279">
        <f t="shared" si="3"/>
        <v>0.16666666666666666</v>
      </c>
    </row>
    <row r="234" spans="1:5">
      <c r="A234" s="275" t="s">
        <v>599</v>
      </c>
      <c r="B234" s="276" t="s">
        <v>1397</v>
      </c>
      <c r="C234" s="277">
        <v>593.79738510000004</v>
      </c>
      <c r="D234" s="280">
        <v>25</v>
      </c>
      <c r="E234" s="279">
        <f t="shared" si="3"/>
        <v>0.41666666666666669</v>
      </c>
    </row>
    <row r="235" spans="1:5">
      <c r="A235" s="275" t="s">
        <v>921</v>
      </c>
      <c r="B235" s="276" t="s">
        <v>1365</v>
      </c>
      <c r="C235" s="277">
        <v>554.32933920000005</v>
      </c>
      <c r="D235" s="280">
        <v>25</v>
      </c>
      <c r="E235" s="279">
        <f t="shared" si="3"/>
        <v>0.41666666666666669</v>
      </c>
    </row>
    <row r="236" spans="1:5">
      <c r="A236" s="275" t="s">
        <v>923</v>
      </c>
      <c r="B236" s="276" t="s">
        <v>1365</v>
      </c>
      <c r="C236" s="277">
        <v>601.66561289999993</v>
      </c>
      <c r="D236" s="280">
        <v>25</v>
      </c>
      <c r="E236" s="279">
        <f t="shared" si="3"/>
        <v>0.41666666666666669</v>
      </c>
    </row>
    <row r="237" spans="1:5">
      <c r="A237" s="275" t="s">
        <v>924</v>
      </c>
      <c r="B237" s="276" t="s">
        <v>1402</v>
      </c>
      <c r="C237" s="277">
        <v>601.66561289999993</v>
      </c>
      <c r="D237" s="280">
        <v>25</v>
      </c>
      <c r="E237" s="279">
        <f t="shared" si="3"/>
        <v>0.41666666666666669</v>
      </c>
    </row>
    <row r="238" spans="1:5">
      <c r="A238" s="275" t="s">
        <v>925</v>
      </c>
      <c r="B238" s="276" t="s">
        <v>1365</v>
      </c>
      <c r="C238" s="277">
        <v>651.15930389999994</v>
      </c>
      <c r="D238" s="280">
        <v>25</v>
      </c>
      <c r="E238" s="279">
        <f t="shared" si="3"/>
        <v>0.41666666666666669</v>
      </c>
    </row>
    <row r="239" spans="1:5">
      <c r="A239" s="275" t="s">
        <v>926</v>
      </c>
      <c r="B239" s="276" t="s">
        <v>1367</v>
      </c>
      <c r="C239" s="277">
        <v>651.15930389999994</v>
      </c>
      <c r="D239" s="280">
        <v>25</v>
      </c>
      <c r="E239" s="279">
        <f t="shared" si="3"/>
        <v>0.41666666666666669</v>
      </c>
    </row>
    <row r="240" spans="1:5">
      <c r="A240" s="275" t="s">
        <v>927</v>
      </c>
      <c r="B240" s="276" t="s">
        <v>1367</v>
      </c>
      <c r="C240" s="277">
        <v>554.32933920000005</v>
      </c>
      <c r="D240" s="280">
        <v>25</v>
      </c>
      <c r="E240" s="279">
        <f t="shared" si="3"/>
        <v>0.41666666666666669</v>
      </c>
    </row>
    <row r="241" spans="1:5">
      <c r="A241" s="275" t="s">
        <v>601</v>
      </c>
      <c r="B241" s="276" t="s">
        <v>1403</v>
      </c>
      <c r="C241" s="277">
        <v>277.92611100000005</v>
      </c>
      <c r="D241" s="280">
        <v>30</v>
      </c>
      <c r="E241" s="279">
        <f t="shared" si="3"/>
        <v>0.5</v>
      </c>
    </row>
    <row r="242" spans="1:5">
      <c r="A242" s="275" t="s">
        <v>377</v>
      </c>
      <c r="B242" s="276" t="s">
        <v>1404</v>
      </c>
      <c r="C242" s="277">
        <v>225.894282</v>
      </c>
      <c r="D242" s="280">
        <v>30</v>
      </c>
      <c r="E242" s="279">
        <f t="shared" si="3"/>
        <v>0.5</v>
      </c>
    </row>
    <row r="243" spans="1:5">
      <c r="A243" s="275" t="s">
        <v>379</v>
      </c>
      <c r="B243" s="276" t="s">
        <v>1405</v>
      </c>
      <c r="C243" s="277">
        <v>248.48371020000002</v>
      </c>
      <c r="D243" s="280">
        <v>30</v>
      </c>
      <c r="E243" s="279">
        <f t="shared" si="3"/>
        <v>0.5</v>
      </c>
    </row>
    <row r="244" spans="1:5">
      <c r="A244" s="275" t="s">
        <v>167</v>
      </c>
      <c r="B244" s="276" t="s">
        <v>1406</v>
      </c>
      <c r="C244" s="277">
        <v>299.62719090000002</v>
      </c>
      <c r="D244" s="280">
        <v>15</v>
      </c>
      <c r="E244" s="279">
        <f t="shared" si="3"/>
        <v>0.25</v>
      </c>
    </row>
    <row r="245" spans="1:5">
      <c r="A245" s="275" t="s">
        <v>381</v>
      </c>
      <c r="B245" s="276" t="s">
        <v>1390</v>
      </c>
      <c r="C245" s="277">
        <v>19.670569499999999</v>
      </c>
      <c r="D245" s="280">
        <v>20</v>
      </c>
      <c r="E245" s="279">
        <f t="shared" si="3"/>
        <v>0.33333333333333331</v>
      </c>
    </row>
    <row r="246" spans="1:5">
      <c r="A246" s="275" t="s">
        <v>603</v>
      </c>
      <c r="B246" s="276" t="s">
        <v>1407</v>
      </c>
      <c r="C246" s="277">
        <v>396.58406250000002</v>
      </c>
      <c r="D246" s="280">
        <v>25</v>
      </c>
      <c r="E246" s="279">
        <f t="shared" si="3"/>
        <v>0.41666666666666669</v>
      </c>
    </row>
    <row r="247" spans="1:5">
      <c r="A247" s="275" t="s">
        <v>605</v>
      </c>
      <c r="B247" s="276" t="s">
        <v>1407</v>
      </c>
      <c r="C247" s="277">
        <v>444.04724309999995</v>
      </c>
      <c r="D247" s="280">
        <v>25</v>
      </c>
      <c r="E247" s="279">
        <f t="shared" si="3"/>
        <v>0.41666666666666669</v>
      </c>
    </row>
    <row r="248" spans="1:5">
      <c r="A248" s="275" t="s">
        <v>383</v>
      </c>
      <c r="B248" s="276" t="s">
        <v>1408</v>
      </c>
      <c r="C248" s="277">
        <v>11.2947141</v>
      </c>
      <c r="D248" s="280">
        <v>15</v>
      </c>
      <c r="E248" s="279">
        <f t="shared" si="3"/>
        <v>0.25</v>
      </c>
    </row>
    <row r="249" spans="1:5">
      <c r="A249" s="275" t="s">
        <v>169</v>
      </c>
      <c r="B249" s="276" t="s">
        <v>1409</v>
      </c>
      <c r="C249" s="277">
        <v>306.35325660000001</v>
      </c>
      <c r="D249" s="280">
        <v>30</v>
      </c>
      <c r="E249" s="279">
        <f t="shared" si="3"/>
        <v>0.5</v>
      </c>
    </row>
    <row r="250" spans="1:5">
      <c r="A250" s="275" t="s">
        <v>171</v>
      </c>
      <c r="B250" s="276" t="s">
        <v>1410</v>
      </c>
      <c r="C250" s="277">
        <v>306.35325660000001</v>
      </c>
      <c r="D250" s="280">
        <v>30</v>
      </c>
      <c r="E250" s="279">
        <f t="shared" si="3"/>
        <v>0.5</v>
      </c>
    </row>
    <row r="251" spans="1:5">
      <c r="A251" s="283" t="s">
        <v>385</v>
      </c>
      <c r="B251" s="276" t="s">
        <v>1411</v>
      </c>
      <c r="C251" s="277">
        <v>208.63494360000001</v>
      </c>
      <c r="D251" s="280">
        <v>30</v>
      </c>
      <c r="E251" s="279">
        <f t="shared" si="3"/>
        <v>0.5</v>
      </c>
    </row>
    <row r="252" spans="1:5">
      <c r="A252" s="275" t="s">
        <v>929</v>
      </c>
      <c r="B252" s="276" t="s">
        <v>1412</v>
      </c>
      <c r="C252" s="277">
        <v>336.93781949999999</v>
      </c>
      <c r="D252" s="280">
        <v>30</v>
      </c>
      <c r="E252" s="279">
        <f t="shared" si="3"/>
        <v>0.5</v>
      </c>
    </row>
    <row r="253" spans="1:5">
      <c r="A253" s="275" t="s">
        <v>931</v>
      </c>
      <c r="B253" s="276" t="s">
        <v>1412</v>
      </c>
      <c r="C253" s="277">
        <v>367.26856859999998</v>
      </c>
      <c r="D253" s="280">
        <v>30</v>
      </c>
      <c r="E253" s="279">
        <f t="shared" si="3"/>
        <v>0.5</v>
      </c>
    </row>
    <row r="254" spans="1:5">
      <c r="A254" s="275" t="s">
        <v>387</v>
      </c>
      <c r="B254" s="276" t="s">
        <v>392</v>
      </c>
      <c r="C254" s="277">
        <v>172.2126633</v>
      </c>
      <c r="D254" s="280">
        <v>30</v>
      </c>
      <c r="E254" s="279">
        <f t="shared" si="3"/>
        <v>0.5</v>
      </c>
    </row>
    <row r="255" spans="1:5">
      <c r="A255" s="275" t="s">
        <v>389</v>
      </c>
      <c r="B255" s="276" t="s">
        <v>1413</v>
      </c>
      <c r="C255" s="277">
        <v>246.07247910000001</v>
      </c>
      <c r="D255" s="280">
        <v>30</v>
      </c>
      <c r="E255" s="279">
        <f t="shared" si="3"/>
        <v>0.5</v>
      </c>
    </row>
    <row r="256" spans="1:5">
      <c r="A256" s="275" t="s">
        <v>391</v>
      </c>
      <c r="B256" s="276" t="s">
        <v>1414</v>
      </c>
      <c r="C256" s="277">
        <v>251.5294758</v>
      </c>
      <c r="D256" s="280">
        <v>30</v>
      </c>
      <c r="E256" s="279">
        <f t="shared" si="3"/>
        <v>0.5</v>
      </c>
    </row>
    <row r="257" spans="1:5">
      <c r="A257" s="275" t="s">
        <v>393</v>
      </c>
      <c r="B257" s="276" t="s">
        <v>1395</v>
      </c>
      <c r="C257" s="277">
        <v>10.660179599999999</v>
      </c>
      <c r="D257" s="280">
        <v>30</v>
      </c>
      <c r="E257" s="279">
        <f t="shared" si="3"/>
        <v>0.5</v>
      </c>
    </row>
    <row r="258" spans="1:5">
      <c r="A258" s="283" t="s">
        <v>177</v>
      </c>
      <c r="B258" s="276" t="s">
        <v>1415</v>
      </c>
      <c r="C258" s="277">
        <v>134.9020347</v>
      </c>
      <c r="D258" s="280">
        <v>15</v>
      </c>
      <c r="E258" s="279">
        <f t="shared" si="3"/>
        <v>0.25</v>
      </c>
    </row>
    <row r="259" spans="1:5">
      <c r="A259" s="275" t="s">
        <v>394</v>
      </c>
      <c r="B259" s="276" t="s">
        <v>364</v>
      </c>
      <c r="C259" s="277">
        <v>19.543662600000001</v>
      </c>
      <c r="D259" s="280">
        <v>15</v>
      </c>
      <c r="E259" s="279">
        <f t="shared" ref="E259:E322" si="4">D259/60</f>
        <v>0.25</v>
      </c>
    </row>
    <row r="260" spans="1:5">
      <c r="A260" s="275" t="s">
        <v>179</v>
      </c>
      <c r="B260" s="276" t="s">
        <v>1416</v>
      </c>
      <c r="C260" s="277">
        <v>97.337592299999997</v>
      </c>
      <c r="D260" s="280">
        <v>15</v>
      </c>
      <c r="E260" s="279">
        <f t="shared" si="4"/>
        <v>0.25</v>
      </c>
    </row>
    <row r="261" spans="1:5">
      <c r="A261" s="275" t="s">
        <v>395</v>
      </c>
      <c r="B261" s="276" t="s">
        <v>1417</v>
      </c>
      <c r="C261" s="277">
        <v>14.086665900000002</v>
      </c>
      <c r="D261" s="280">
        <v>15</v>
      </c>
      <c r="E261" s="279">
        <f t="shared" si="4"/>
        <v>0.25</v>
      </c>
    </row>
    <row r="262" spans="1:5">
      <c r="A262" s="275" t="s">
        <v>397</v>
      </c>
      <c r="B262" s="276" t="s">
        <v>1309</v>
      </c>
      <c r="C262" s="277">
        <v>19.1629419</v>
      </c>
      <c r="D262" s="280">
        <v>15</v>
      </c>
      <c r="E262" s="279">
        <f t="shared" si="4"/>
        <v>0.25</v>
      </c>
    </row>
    <row r="263" spans="1:5">
      <c r="A263" s="275" t="s">
        <v>181</v>
      </c>
      <c r="B263" s="276" t="s">
        <v>1418</v>
      </c>
      <c r="C263" s="277">
        <v>66.118494900000002</v>
      </c>
      <c r="D263" s="280">
        <v>15</v>
      </c>
      <c r="E263" s="279">
        <f t="shared" si="4"/>
        <v>0.25</v>
      </c>
    </row>
    <row r="264" spans="1:5">
      <c r="A264" s="283" t="s">
        <v>173</v>
      </c>
      <c r="B264" s="276" t="s">
        <v>1419</v>
      </c>
      <c r="C264" s="277">
        <v>25.1275662</v>
      </c>
      <c r="D264" s="280">
        <v>15</v>
      </c>
      <c r="E264" s="279">
        <f t="shared" si="4"/>
        <v>0.25</v>
      </c>
    </row>
    <row r="265" spans="1:5">
      <c r="A265" s="283" t="s">
        <v>175</v>
      </c>
      <c r="B265" s="276" t="s">
        <v>1419</v>
      </c>
      <c r="C265" s="277">
        <v>27.792611100000002</v>
      </c>
      <c r="D265" s="280">
        <v>15</v>
      </c>
      <c r="E265" s="279">
        <f t="shared" si="4"/>
        <v>0.25</v>
      </c>
    </row>
    <row r="266" spans="1:5">
      <c r="A266" s="275" t="s">
        <v>183</v>
      </c>
      <c r="B266" s="276" t="s">
        <v>1420</v>
      </c>
      <c r="C266" s="277">
        <v>49.874411699999996</v>
      </c>
      <c r="D266" s="280">
        <v>15</v>
      </c>
      <c r="E266" s="279">
        <f t="shared" si="4"/>
        <v>0.25</v>
      </c>
    </row>
    <row r="267" spans="1:5">
      <c r="A267" s="275" t="s">
        <v>184</v>
      </c>
      <c r="B267" s="276" t="s">
        <v>1421</v>
      </c>
      <c r="C267" s="277">
        <v>68.529725999999997</v>
      </c>
      <c r="D267" s="280">
        <v>15</v>
      </c>
      <c r="E267" s="279">
        <f t="shared" si="4"/>
        <v>0.25</v>
      </c>
    </row>
    <row r="268" spans="1:5">
      <c r="A268" s="275" t="s">
        <v>186</v>
      </c>
      <c r="B268" s="276" t="s">
        <v>1422</v>
      </c>
      <c r="C268" s="277">
        <v>27.411890400000004</v>
      </c>
      <c r="D268" s="280">
        <v>15</v>
      </c>
      <c r="E268" s="279">
        <f t="shared" si="4"/>
        <v>0.25</v>
      </c>
    </row>
    <row r="269" spans="1:5">
      <c r="A269" s="275" t="s">
        <v>399</v>
      </c>
      <c r="B269" s="276" t="s">
        <v>1423</v>
      </c>
      <c r="C269" s="277">
        <v>27.411890400000004</v>
      </c>
      <c r="D269" s="280">
        <v>15</v>
      </c>
      <c r="E269" s="279">
        <f t="shared" si="4"/>
        <v>0.25</v>
      </c>
    </row>
    <row r="270" spans="1:5">
      <c r="A270" s="275" t="s">
        <v>188</v>
      </c>
      <c r="B270" s="276" t="s">
        <v>1424</v>
      </c>
      <c r="C270" s="277">
        <v>14.721200399999999</v>
      </c>
      <c r="D270" s="280">
        <v>15</v>
      </c>
      <c r="E270" s="279">
        <f t="shared" si="4"/>
        <v>0.25</v>
      </c>
    </row>
    <row r="271" spans="1:5">
      <c r="A271" s="275" t="s">
        <v>401</v>
      </c>
      <c r="B271" s="276" t="s">
        <v>1425</v>
      </c>
      <c r="C271" s="277">
        <v>14.721200399999999</v>
      </c>
      <c r="D271" s="280">
        <v>15</v>
      </c>
      <c r="E271" s="279">
        <f t="shared" si="4"/>
        <v>0.25</v>
      </c>
    </row>
    <row r="272" spans="1:5">
      <c r="A272" s="275" t="s">
        <v>190</v>
      </c>
      <c r="B272" s="276" t="s">
        <v>1426</v>
      </c>
      <c r="C272" s="277">
        <v>29.569307699999996</v>
      </c>
      <c r="D272" s="280">
        <v>15</v>
      </c>
      <c r="E272" s="279">
        <f t="shared" si="4"/>
        <v>0.25</v>
      </c>
    </row>
    <row r="273" spans="1:5">
      <c r="A273" s="275" t="s">
        <v>403</v>
      </c>
      <c r="B273" s="276" t="s">
        <v>1427</v>
      </c>
      <c r="C273" s="277">
        <v>29.569307699999996</v>
      </c>
      <c r="D273" s="280">
        <v>15</v>
      </c>
      <c r="E273" s="279">
        <f t="shared" si="4"/>
        <v>0.25</v>
      </c>
    </row>
    <row r="274" spans="1:5">
      <c r="A274" s="275" t="s">
        <v>192</v>
      </c>
      <c r="B274" s="276" t="s">
        <v>1428</v>
      </c>
      <c r="C274" s="277">
        <v>57.108105000000002</v>
      </c>
      <c r="D274" s="280">
        <v>15</v>
      </c>
      <c r="E274" s="279">
        <f t="shared" si="4"/>
        <v>0.25</v>
      </c>
    </row>
    <row r="275" spans="1:5">
      <c r="A275" s="275" t="s">
        <v>405</v>
      </c>
      <c r="B275" s="276" t="s">
        <v>406</v>
      </c>
      <c r="C275" s="277">
        <v>57.108105000000002</v>
      </c>
      <c r="D275" s="280">
        <v>15</v>
      </c>
      <c r="E275" s="279">
        <f t="shared" si="4"/>
        <v>0.25</v>
      </c>
    </row>
    <row r="276" spans="1:5">
      <c r="A276" s="275" t="s">
        <v>1429</v>
      </c>
      <c r="B276" s="276" t="s">
        <v>1430</v>
      </c>
      <c r="C276" s="277">
        <v>39.594952799999994</v>
      </c>
      <c r="D276" s="280">
        <v>15</v>
      </c>
      <c r="E276" s="279">
        <f t="shared" si="4"/>
        <v>0.25</v>
      </c>
    </row>
    <row r="277" spans="1:5">
      <c r="A277" s="275" t="s">
        <v>934</v>
      </c>
      <c r="B277" s="276" t="s">
        <v>1430</v>
      </c>
      <c r="C277" s="277">
        <v>39.848766599999998</v>
      </c>
      <c r="D277" s="280">
        <v>15</v>
      </c>
      <c r="E277" s="279">
        <f t="shared" si="4"/>
        <v>0.25</v>
      </c>
    </row>
    <row r="278" spans="1:5">
      <c r="A278" s="275" t="s">
        <v>940</v>
      </c>
      <c r="B278" s="276" t="s">
        <v>1430</v>
      </c>
      <c r="C278" s="277">
        <v>42.513811499999996</v>
      </c>
      <c r="D278" s="280">
        <v>15</v>
      </c>
      <c r="E278" s="279">
        <f t="shared" si="4"/>
        <v>0.25</v>
      </c>
    </row>
    <row r="279" spans="1:5">
      <c r="A279" s="275" t="s">
        <v>936</v>
      </c>
      <c r="B279" s="276" t="s">
        <v>1430</v>
      </c>
      <c r="C279" s="277">
        <v>43.021439099999995</v>
      </c>
      <c r="D279" s="280">
        <v>15</v>
      </c>
      <c r="E279" s="279">
        <f t="shared" si="4"/>
        <v>0.25</v>
      </c>
    </row>
    <row r="280" spans="1:5">
      <c r="A280" s="275" t="s">
        <v>194</v>
      </c>
      <c r="B280" s="276" t="s">
        <v>1431</v>
      </c>
      <c r="C280" s="277">
        <v>34.772490599999998</v>
      </c>
      <c r="D280" s="280">
        <v>15</v>
      </c>
      <c r="E280" s="279">
        <f t="shared" si="4"/>
        <v>0.25</v>
      </c>
    </row>
    <row r="281" spans="1:5">
      <c r="A281" s="275" t="s">
        <v>196</v>
      </c>
      <c r="B281" s="276" t="s">
        <v>1432</v>
      </c>
      <c r="C281" s="277">
        <v>31.980538799999998</v>
      </c>
      <c r="D281" s="280">
        <v>15</v>
      </c>
      <c r="E281" s="279">
        <f t="shared" si="4"/>
        <v>0.25</v>
      </c>
    </row>
    <row r="282" spans="1:5">
      <c r="A282" s="275" t="s">
        <v>198</v>
      </c>
      <c r="B282" s="276" t="s">
        <v>1433</v>
      </c>
      <c r="C282" s="277">
        <v>41.752370099999993</v>
      </c>
      <c r="D282" s="280">
        <v>15</v>
      </c>
      <c r="E282" s="279">
        <f t="shared" si="4"/>
        <v>0.25</v>
      </c>
    </row>
    <row r="283" spans="1:5">
      <c r="A283" s="275" t="s">
        <v>200</v>
      </c>
      <c r="B283" s="276" t="s">
        <v>201</v>
      </c>
      <c r="C283" s="277">
        <v>18.274593599999999</v>
      </c>
      <c r="D283" s="280">
        <v>15</v>
      </c>
      <c r="E283" s="279">
        <f t="shared" si="4"/>
        <v>0.25</v>
      </c>
    </row>
    <row r="284" spans="1:5">
      <c r="A284" s="275" t="s">
        <v>964</v>
      </c>
      <c r="B284" s="276" t="s">
        <v>1434</v>
      </c>
      <c r="C284" s="277">
        <v>15.228828</v>
      </c>
      <c r="D284" s="280">
        <v>30</v>
      </c>
      <c r="E284" s="279">
        <f t="shared" si="4"/>
        <v>0.5</v>
      </c>
    </row>
    <row r="285" spans="1:5">
      <c r="A285" s="275" t="s">
        <v>965</v>
      </c>
      <c r="B285" s="276" t="s">
        <v>1434</v>
      </c>
      <c r="C285" s="277">
        <v>18.147686699999998</v>
      </c>
      <c r="D285" s="280">
        <v>30</v>
      </c>
      <c r="E285" s="279">
        <f t="shared" si="4"/>
        <v>0.5</v>
      </c>
    </row>
    <row r="286" spans="1:5">
      <c r="A286" s="283" t="s">
        <v>967</v>
      </c>
      <c r="B286" s="276" t="s">
        <v>1434</v>
      </c>
      <c r="C286" s="277">
        <v>18.9091281</v>
      </c>
      <c r="D286" s="280">
        <v>30</v>
      </c>
      <c r="E286" s="279">
        <f t="shared" si="4"/>
        <v>0.5</v>
      </c>
    </row>
    <row r="287" spans="1:5">
      <c r="A287" s="283" t="s">
        <v>1435</v>
      </c>
      <c r="B287" s="276" t="s">
        <v>1434</v>
      </c>
      <c r="C287" s="277">
        <v>19.4167557</v>
      </c>
      <c r="D287" s="280">
        <v>30</v>
      </c>
      <c r="E287" s="279">
        <f t="shared" si="4"/>
        <v>0.5</v>
      </c>
    </row>
    <row r="288" spans="1:5">
      <c r="A288" s="275" t="s">
        <v>971</v>
      </c>
      <c r="B288" s="276" t="s">
        <v>1434</v>
      </c>
      <c r="C288" s="277">
        <v>19.924383300000002</v>
      </c>
      <c r="D288" s="280">
        <v>30</v>
      </c>
      <c r="E288" s="279">
        <f t="shared" si="4"/>
        <v>0.5</v>
      </c>
    </row>
    <row r="289" spans="1:5">
      <c r="A289" s="275" t="s">
        <v>973</v>
      </c>
      <c r="B289" s="276" t="s">
        <v>1434</v>
      </c>
      <c r="C289" s="277">
        <v>21.7010799</v>
      </c>
      <c r="D289" s="280">
        <v>30</v>
      </c>
      <c r="E289" s="279">
        <f t="shared" si="4"/>
        <v>0.5</v>
      </c>
    </row>
    <row r="290" spans="1:5">
      <c r="A290" s="275" t="s">
        <v>975</v>
      </c>
      <c r="B290" s="276" t="s">
        <v>1434</v>
      </c>
      <c r="C290" s="277">
        <v>24.4930317</v>
      </c>
      <c r="D290" s="280">
        <v>30</v>
      </c>
      <c r="E290" s="279">
        <f t="shared" si="4"/>
        <v>0.5</v>
      </c>
    </row>
    <row r="291" spans="1:5">
      <c r="A291" s="275" t="s">
        <v>942</v>
      </c>
      <c r="B291" s="275" t="s">
        <v>1436</v>
      </c>
      <c r="C291" s="281">
        <v>18.655314300000001</v>
      </c>
      <c r="D291" s="280">
        <v>30</v>
      </c>
      <c r="E291" s="279">
        <f t="shared" si="4"/>
        <v>0.5</v>
      </c>
    </row>
    <row r="292" spans="1:5">
      <c r="A292" s="275" t="s">
        <v>944</v>
      </c>
      <c r="B292" s="276" t="s">
        <v>1436</v>
      </c>
      <c r="C292" s="277">
        <v>22.335614399999997</v>
      </c>
      <c r="D292" s="280">
        <v>30</v>
      </c>
      <c r="E292" s="279">
        <f t="shared" si="4"/>
        <v>0.5</v>
      </c>
    </row>
    <row r="293" spans="1:5">
      <c r="A293" s="275" t="s">
        <v>946</v>
      </c>
      <c r="B293" s="276" t="s">
        <v>1436</v>
      </c>
      <c r="C293" s="277">
        <v>23.731590300000001</v>
      </c>
      <c r="D293" s="280">
        <v>30</v>
      </c>
      <c r="E293" s="279">
        <f t="shared" si="4"/>
        <v>0.5</v>
      </c>
    </row>
    <row r="294" spans="1:5">
      <c r="A294" s="275" t="s">
        <v>1437</v>
      </c>
      <c r="B294" s="276" t="s">
        <v>1436</v>
      </c>
      <c r="C294" s="277">
        <v>24.619938599999998</v>
      </c>
      <c r="D294" s="280">
        <v>30</v>
      </c>
      <c r="E294" s="279">
        <f t="shared" si="4"/>
        <v>0.5</v>
      </c>
    </row>
    <row r="295" spans="1:5">
      <c r="A295" s="275" t="s">
        <v>950</v>
      </c>
      <c r="B295" s="276" t="s">
        <v>1436</v>
      </c>
      <c r="C295" s="277">
        <v>25.254473100000002</v>
      </c>
      <c r="D295" s="280">
        <v>30</v>
      </c>
      <c r="E295" s="279">
        <f t="shared" si="4"/>
        <v>0.5</v>
      </c>
    </row>
    <row r="296" spans="1:5">
      <c r="A296" s="275" t="s">
        <v>952</v>
      </c>
      <c r="B296" s="276" t="s">
        <v>1436</v>
      </c>
      <c r="C296" s="277">
        <v>25.762100699999998</v>
      </c>
      <c r="D296" s="280">
        <v>30</v>
      </c>
      <c r="E296" s="279">
        <f t="shared" si="4"/>
        <v>0.5</v>
      </c>
    </row>
    <row r="297" spans="1:5">
      <c r="A297" s="275" t="s">
        <v>1438</v>
      </c>
      <c r="B297" s="276" t="s">
        <v>1436</v>
      </c>
      <c r="C297" s="277">
        <v>28.807866299999997</v>
      </c>
      <c r="D297" s="280">
        <v>30</v>
      </c>
      <c r="E297" s="279">
        <f t="shared" si="4"/>
        <v>0.5</v>
      </c>
    </row>
    <row r="298" spans="1:5">
      <c r="A298" s="275" t="s">
        <v>956</v>
      </c>
      <c r="B298" s="276" t="s">
        <v>1439</v>
      </c>
      <c r="C298" s="277">
        <v>33.2496078</v>
      </c>
      <c r="D298" s="280">
        <v>30</v>
      </c>
      <c r="E298" s="279">
        <f t="shared" si="4"/>
        <v>0.5</v>
      </c>
    </row>
    <row r="299" spans="1:5">
      <c r="A299" s="275" t="s">
        <v>958</v>
      </c>
      <c r="B299" s="276" t="s">
        <v>1439</v>
      </c>
      <c r="C299" s="277">
        <v>36.929907899999996</v>
      </c>
      <c r="D299" s="280">
        <v>30</v>
      </c>
      <c r="E299" s="279">
        <f t="shared" si="4"/>
        <v>0.5</v>
      </c>
    </row>
    <row r="300" spans="1:5">
      <c r="A300" s="275" t="s">
        <v>960</v>
      </c>
      <c r="B300" s="276" t="s">
        <v>1439</v>
      </c>
      <c r="C300" s="277">
        <v>45.559577099999998</v>
      </c>
      <c r="D300" s="280">
        <v>30</v>
      </c>
      <c r="E300" s="279">
        <f t="shared" si="4"/>
        <v>0.5</v>
      </c>
    </row>
    <row r="301" spans="1:5">
      <c r="A301" s="275" t="s">
        <v>962</v>
      </c>
      <c r="B301" s="276" t="s">
        <v>1439</v>
      </c>
      <c r="C301" s="277">
        <v>49.6205979</v>
      </c>
      <c r="D301" s="280">
        <v>30</v>
      </c>
      <c r="E301" s="279">
        <f t="shared" si="4"/>
        <v>0.5</v>
      </c>
    </row>
    <row r="302" spans="1:5">
      <c r="A302" s="275" t="s">
        <v>407</v>
      </c>
      <c r="B302" s="276" t="s">
        <v>1440</v>
      </c>
      <c r="C302" s="277">
        <v>70.052608800000002</v>
      </c>
      <c r="D302" s="280">
        <v>30</v>
      </c>
      <c r="E302" s="279">
        <f t="shared" si="4"/>
        <v>0.5</v>
      </c>
    </row>
    <row r="303" spans="1:5">
      <c r="A303" s="275" t="s">
        <v>1441</v>
      </c>
      <c r="B303" s="276" t="s">
        <v>1442</v>
      </c>
      <c r="C303" s="277">
        <v>98.225940600000001</v>
      </c>
      <c r="D303" s="280">
        <v>30</v>
      </c>
      <c r="E303" s="279">
        <f t="shared" si="4"/>
        <v>0.5</v>
      </c>
    </row>
    <row r="304" spans="1:5">
      <c r="A304" s="275" t="s">
        <v>612</v>
      </c>
      <c r="B304" s="276" t="s">
        <v>1440</v>
      </c>
      <c r="C304" s="277">
        <v>67.895191499999996</v>
      </c>
      <c r="D304" s="280">
        <v>30</v>
      </c>
      <c r="E304" s="279">
        <f t="shared" si="4"/>
        <v>0.5</v>
      </c>
    </row>
    <row r="305" spans="1:5">
      <c r="A305" s="275" t="s">
        <v>614</v>
      </c>
      <c r="B305" s="276" t="s">
        <v>1442</v>
      </c>
      <c r="C305" s="277">
        <v>90.103898999999998</v>
      </c>
      <c r="D305" s="280">
        <v>30</v>
      </c>
      <c r="E305" s="279">
        <f t="shared" si="4"/>
        <v>0.5</v>
      </c>
    </row>
    <row r="306" spans="1:5">
      <c r="A306" s="275" t="s">
        <v>1443</v>
      </c>
      <c r="B306" s="276" t="s">
        <v>1444</v>
      </c>
      <c r="C306" s="277">
        <v>68.529725999999997</v>
      </c>
      <c r="D306" s="280">
        <v>30</v>
      </c>
      <c r="E306" s="279">
        <f t="shared" si="4"/>
        <v>0.5</v>
      </c>
    </row>
    <row r="307" spans="1:5">
      <c r="A307" s="275" t="s">
        <v>413</v>
      </c>
      <c r="B307" s="276" t="s">
        <v>1445</v>
      </c>
      <c r="C307" s="277">
        <v>76.144139999999993</v>
      </c>
      <c r="D307" s="280">
        <v>30</v>
      </c>
      <c r="E307" s="279">
        <f t="shared" si="4"/>
        <v>0.5</v>
      </c>
    </row>
    <row r="308" spans="1:5">
      <c r="A308" s="275" t="s">
        <v>415</v>
      </c>
      <c r="B308" s="276" t="s">
        <v>1446</v>
      </c>
      <c r="C308" s="277">
        <v>73.606002000000004</v>
      </c>
      <c r="D308" s="280">
        <v>30</v>
      </c>
      <c r="E308" s="279">
        <f t="shared" si="4"/>
        <v>0.5</v>
      </c>
    </row>
    <row r="309" spans="1:5">
      <c r="A309" s="275" t="s">
        <v>417</v>
      </c>
      <c r="B309" s="276" t="s">
        <v>1447</v>
      </c>
      <c r="C309" s="277">
        <v>76.905581399999988</v>
      </c>
      <c r="D309" s="280">
        <v>30</v>
      </c>
      <c r="E309" s="279">
        <f t="shared" si="4"/>
        <v>0.5</v>
      </c>
    </row>
    <row r="310" spans="1:5">
      <c r="A310" s="275" t="s">
        <v>419</v>
      </c>
      <c r="B310" s="276" t="s">
        <v>1448</v>
      </c>
      <c r="C310" s="277">
        <v>53.047084199999993</v>
      </c>
      <c r="D310" s="280">
        <v>30</v>
      </c>
      <c r="E310" s="279">
        <f t="shared" si="4"/>
        <v>0.5</v>
      </c>
    </row>
    <row r="311" spans="1:5">
      <c r="A311" s="275" t="s">
        <v>421</v>
      </c>
      <c r="B311" s="276" t="s">
        <v>1448</v>
      </c>
      <c r="C311" s="277">
        <v>57.235011899999989</v>
      </c>
      <c r="D311" s="280">
        <v>30</v>
      </c>
      <c r="E311" s="279">
        <f t="shared" si="4"/>
        <v>0.5</v>
      </c>
    </row>
    <row r="312" spans="1:5">
      <c r="A312" s="275" t="s">
        <v>977</v>
      </c>
      <c r="B312" s="276" t="s">
        <v>1449</v>
      </c>
      <c r="C312" s="277">
        <v>17.640059099999998</v>
      </c>
      <c r="D312" s="280">
        <v>15</v>
      </c>
      <c r="E312" s="279">
        <f t="shared" si="4"/>
        <v>0.25</v>
      </c>
    </row>
    <row r="313" spans="1:5">
      <c r="A313" s="275" t="s">
        <v>979</v>
      </c>
      <c r="B313" s="276" t="s">
        <v>1449</v>
      </c>
      <c r="C313" s="277">
        <v>21.320359199999999</v>
      </c>
      <c r="D313" s="280">
        <v>15</v>
      </c>
      <c r="E313" s="279">
        <f t="shared" si="4"/>
        <v>0.25</v>
      </c>
    </row>
    <row r="314" spans="1:5">
      <c r="A314" s="275" t="s">
        <v>981</v>
      </c>
      <c r="B314" s="276" t="s">
        <v>1449</v>
      </c>
      <c r="C314" s="277">
        <v>25.254473100000002</v>
      </c>
      <c r="D314" s="280">
        <v>15</v>
      </c>
      <c r="E314" s="279">
        <f t="shared" si="4"/>
        <v>0.25</v>
      </c>
    </row>
    <row r="315" spans="1:5">
      <c r="A315" s="275" t="s">
        <v>983</v>
      </c>
      <c r="B315" s="276" t="s">
        <v>1449</v>
      </c>
      <c r="C315" s="277">
        <v>28.427145599999996</v>
      </c>
      <c r="D315" s="280">
        <v>15</v>
      </c>
      <c r="E315" s="279">
        <f t="shared" si="4"/>
        <v>0.25</v>
      </c>
    </row>
    <row r="316" spans="1:5">
      <c r="A316" s="275" t="s">
        <v>985</v>
      </c>
      <c r="B316" s="276" t="s">
        <v>1450</v>
      </c>
      <c r="C316" s="277">
        <v>16.3709901</v>
      </c>
      <c r="D316" s="280">
        <v>15</v>
      </c>
      <c r="E316" s="279">
        <f t="shared" si="4"/>
        <v>0.25</v>
      </c>
    </row>
    <row r="317" spans="1:5">
      <c r="A317" s="275" t="s">
        <v>987</v>
      </c>
      <c r="B317" s="276" t="s">
        <v>1450</v>
      </c>
      <c r="C317" s="277">
        <v>20.432010900000002</v>
      </c>
      <c r="D317" s="280">
        <v>15</v>
      </c>
      <c r="E317" s="279">
        <f t="shared" si="4"/>
        <v>0.25</v>
      </c>
    </row>
    <row r="318" spans="1:5">
      <c r="A318" s="275" t="s">
        <v>989</v>
      </c>
      <c r="B318" s="276" t="s">
        <v>1450</v>
      </c>
      <c r="C318" s="277">
        <v>22.843242</v>
      </c>
      <c r="D318" s="280">
        <v>15</v>
      </c>
      <c r="E318" s="279">
        <f t="shared" si="4"/>
        <v>0.25</v>
      </c>
    </row>
    <row r="319" spans="1:5">
      <c r="A319" s="275" t="s">
        <v>991</v>
      </c>
      <c r="B319" s="276" t="s">
        <v>1450</v>
      </c>
      <c r="C319" s="277">
        <v>25.889007599999996</v>
      </c>
      <c r="D319" s="280">
        <v>15</v>
      </c>
      <c r="E319" s="279">
        <f t="shared" si="4"/>
        <v>0.25</v>
      </c>
    </row>
    <row r="320" spans="1:5">
      <c r="A320" s="275" t="s">
        <v>202</v>
      </c>
      <c r="B320" s="276" t="s">
        <v>203</v>
      </c>
      <c r="C320" s="277">
        <v>64.214891399999999</v>
      </c>
      <c r="D320" s="280">
        <v>15</v>
      </c>
      <c r="E320" s="279">
        <f t="shared" si="4"/>
        <v>0.25</v>
      </c>
    </row>
    <row r="321" spans="1:5">
      <c r="A321" s="275" t="s">
        <v>423</v>
      </c>
      <c r="B321" s="276" t="s">
        <v>1451</v>
      </c>
      <c r="C321" s="277">
        <v>27.792611100000002</v>
      </c>
      <c r="D321" s="280">
        <v>15</v>
      </c>
      <c r="E321" s="279">
        <f t="shared" si="4"/>
        <v>0.25</v>
      </c>
    </row>
    <row r="322" spans="1:5">
      <c r="A322" s="275" t="s">
        <v>204</v>
      </c>
      <c r="B322" s="276" t="s">
        <v>1452</v>
      </c>
      <c r="C322" s="277">
        <v>25.254473100000002</v>
      </c>
      <c r="D322" s="280">
        <v>15</v>
      </c>
      <c r="E322" s="279">
        <f t="shared" si="4"/>
        <v>0.25</v>
      </c>
    </row>
    <row r="323" spans="1:5">
      <c r="A323" s="275" t="s">
        <v>425</v>
      </c>
      <c r="B323" s="276" t="s">
        <v>1453</v>
      </c>
      <c r="C323" s="277">
        <v>25.254473100000002</v>
      </c>
      <c r="D323" s="280">
        <v>15</v>
      </c>
      <c r="E323" s="279">
        <f t="shared" ref="E323:E386" si="5">D323/60</f>
        <v>0.25</v>
      </c>
    </row>
    <row r="324" spans="1:5">
      <c r="A324" s="275" t="s">
        <v>427</v>
      </c>
      <c r="B324" s="276" t="s">
        <v>1454</v>
      </c>
      <c r="C324" s="277">
        <v>36.803001000000002</v>
      </c>
      <c r="D324" s="280">
        <v>15</v>
      </c>
      <c r="E324" s="279">
        <f t="shared" si="5"/>
        <v>0.25</v>
      </c>
    </row>
    <row r="325" spans="1:5">
      <c r="A325" s="275" t="s">
        <v>429</v>
      </c>
      <c r="B325" s="276" t="s">
        <v>1455</v>
      </c>
      <c r="C325" s="277">
        <v>54.950687700000003</v>
      </c>
      <c r="D325" s="280">
        <v>15</v>
      </c>
      <c r="E325" s="279">
        <f t="shared" si="5"/>
        <v>0.25</v>
      </c>
    </row>
    <row r="326" spans="1:5">
      <c r="A326" s="275" t="s">
        <v>616</v>
      </c>
      <c r="B326" s="276" t="s">
        <v>1456</v>
      </c>
      <c r="C326" s="277">
        <v>54.950687700000003</v>
      </c>
      <c r="D326" s="280">
        <v>15</v>
      </c>
      <c r="E326" s="279">
        <f t="shared" si="5"/>
        <v>0.25</v>
      </c>
    </row>
    <row r="327" spans="1:5">
      <c r="A327" s="275" t="s">
        <v>206</v>
      </c>
      <c r="B327" s="276" t="s">
        <v>1457</v>
      </c>
      <c r="C327" s="277">
        <v>16.244083199999999</v>
      </c>
      <c r="D327" s="280">
        <v>15</v>
      </c>
      <c r="E327" s="279">
        <f t="shared" si="5"/>
        <v>0.25</v>
      </c>
    </row>
    <row r="328" spans="1:5">
      <c r="A328" s="275" t="s">
        <v>431</v>
      </c>
      <c r="B328" s="276" t="s">
        <v>1458</v>
      </c>
      <c r="C328" s="277">
        <v>16.244083199999999</v>
      </c>
      <c r="D328" s="280">
        <v>15</v>
      </c>
      <c r="E328" s="279">
        <f t="shared" si="5"/>
        <v>0.25</v>
      </c>
    </row>
    <row r="329" spans="1:5">
      <c r="A329" s="275" t="s">
        <v>208</v>
      </c>
      <c r="B329" s="276" t="s">
        <v>1459</v>
      </c>
      <c r="C329" s="277">
        <v>15.990269399999999</v>
      </c>
      <c r="D329" s="280">
        <v>15</v>
      </c>
      <c r="E329" s="279">
        <f t="shared" si="5"/>
        <v>0.25</v>
      </c>
    </row>
    <row r="330" spans="1:5">
      <c r="A330" s="275" t="s">
        <v>433</v>
      </c>
      <c r="B330" s="276" t="s">
        <v>1460</v>
      </c>
      <c r="C330" s="277">
        <v>15.990269399999999</v>
      </c>
      <c r="D330" s="280">
        <v>15</v>
      </c>
      <c r="E330" s="279">
        <f t="shared" si="5"/>
        <v>0.25</v>
      </c>
    </row>
    <row r="331" spans="1:5">
      <c r="A331" s="275" t="s">
        <v>210</v>
      </c>
      <c r="B331" s="276" t="s">
        <v>1461</v>
      </c>
      <c r="C331" s="277">
        <v>18.655314300000001</v>
      </c>
      <c r="D331" s="280">
        <v>15</v>
      </c>
      <c r="E331" s="279">
        <f t="shared" si="5"/>
        <v>0.25</v>
      </c>
    </row>
    <row r="332" spans="1:5">
      <c r="A332" s="275" t="s">
        <v>435</v>
      </c>
      <c r="B332" s="276" t="s">
        <v>1462</v>
      </c>
      <c r="C332" s="277">
        <v>18.655314300000001</v>
      </c>
      <c r="D332" s="280">
        <v>15</v>
      </c>
      <c r="E332" s="279">
        <f t="shared" si="5"/>
        <v>0.25</v>
      </c>
    </row>
    <row r="333" spans="1:5">
      <c r="A333" s="275" t="s">
        <v>997</v>
      </c>
      <c r="B333" s="276" t="s">
        <v>1463</v>
      </c>
      <c r="C333" s="277">
        <v>33.884142299999993</v>
      </c>
      <c r="D333" s="280">
        <v>15</v>
      </c>
      <c r="E333" s="279">
        <f t="shared" si="5"/>
        <v>0.25</v>
      </c>
    </row>
    <row r="334" spans="1:5">
      <c r="A334" s="275" t="s">
        <v>999</v>
      </c>
      <c r="B334" s="276" t="s">
        <v>1463</v>
      </c>
      <c r="C334" s="277">
        <v>36.422280299999997</v>
      </c>
      <c r="D334" s="280">
        <v>15</v>
      </c>
      <c r="E334" s="279">
        <f t="shared" si="5"/>
        <v>0.25</v>
      </c>
    </row>
    <row r="335" spans="1:5">
      <c r="A335" s="275" t="s">
        <v>995</v>
      </c>
      <c r="B335" s="276" t="s">
        <v>1464</v>
      </c>
      <c r="C335" s="277">
        <v>36.422280299999997</v>
      </c>
      <c r="D335" s="280">
        <v>15</v>
      </c>
      <c r="E335" s="279">
        <f t="shared" si="5"/>
        <v>0.25</v>
      </c>
    </row>
    <row r="336" spans="1:5">
      <c r="A336" s="275" t="s">
        <v>1002</v>
      </c>
      <c r="B336" s="276" t="s">
        <v>1463</v>
      </c>
      <c r="C336" s="277">
        <v>35.914652699999998</v>
      </c>
      <c r="D336" s="280">
        <v>15</v>
      </c>
      <c r="E336" s="279">
        <f t="shared" si="5"/>
        <v>0.25</v>
      </c>
    </row>
    <row r="337" spans="1:5">
      <c r="A337" s="275" t="s">
        <v>1004</v>
      </c>
      <c r="B337" s="276" t="s">
        <v>1463</v>
      </c>
      <c r="C337" s="277">
        <v>37.945163099999995</v>
      </c>
      <c r="D337" s="280">
        <v>15</v>
      </c>
      <c r="E337" s="279">
        <f t="shared" si="5"/>
        <v>0.25</v>
      </c>
    </row>
    <row r="338" spans="1:5">
      <c r="A338" s="275" t="s">
        <v>1000</v>
      </c>
      <c r="B338" s="276" t="s">
        <v>1464</v>
      </c>
      <c r="C338" s="277">
        <v>37.945163099999995</v>
      </c>
      <c r="D338" s="280">
        <v>15</v>
      </c>
      <c r="E338" s="279">
        <f t="shared" si="5"/>
        <v>0.25</v>
      </c>
    </row>
    <row r="339" spans="1:5">
      <c r="A339" s="275" t="s">
        <v>1005</v>
      </c>
      <c r="B339" s="276" t="s">
        <v>1465</v>
      </c>
      <c r="C339" s="277">
        <v>90.992247300000002</v>
      </c>
      <c r="D339" s="280">
        <v>15</v>
      </c>
      <c r="E339" s="279">
        <f t="shared" si="5"/>
        <v>0.25</v>
      </c>
    </row>
    <row r="340" spans="1:5">
      <c r="A340" s="275" t="s">
        <v>212</v>
      </c>
      <c r="B340" s="276" t="s">
        <v>1466</v>
      </c>
      <c r="C340" s="277">
        <v>18.274593599999999</v>
      </c>
      <c r="D340" s="280">
        <v>15</v>
      </c>
      <c r="E340" s="279">
        <f t="shared" si="5"/>
        <v>0.25</v>
      </c>
    </row>
    <row r="341" spans="1:5">
      <c r="A341" s="275" t="s">
        <v>437</v>
      </c>
      <c r="B341" s="276" t="s">
        <v>1467</v>
      </c>
      <c r="C341" s="277">
        <v>18.274593599999999</v>
      </c>
      <c r="D341" s="280">
        <v>15</v>
      </c>
      <c r="E341" s="279">
        <f t="shared" si="5"/>
        <v>0.25</v>
      </c>
    </row>
    <row r="342" spans="1:5">
      <c r="A342" s="275" t="s">
        <v>214</v>
      </c>
      <c r="B342" s="276" t="s">
        <v>1468</v>
      </c>
      <c r="C342" s="277">
        <v>25.762100699999998</v>
      </c>
      <c r="D342" s="280">
        <v>15</v>
      </c>
      <c r="E342" s="279">
        <f t="shared" si="5"/>
        <v>0.25</v>
      </c>
    </row>
    <row r="343" spans="1:5">
      <c r="A343" s="275" t="s">
        <v>1015</v>
      </c>
      <c r="B343" s="276" t="s">
        <v>1469</v>
      </c>
      <c r="C343" s="277">
        <v>18.528407399999999</v>
      </c>
      <c r="D343" s="280">
        <v>30</v>
      </c>
      <c r="E343" s="279">
        <f t="shared" si="5"/>
        <v>0.5</v>
      </c>
    </row>
    <row r="344" spans="1:5">
      <c r="A344" s="275" t="s">
        <v>1016</v>
      </c>
      <c r="B344" s="276" t="s">
        <v>1469</v>
      </c>
      <c r="C344" s="277">
        <v>18.655314300000001</v>
      </c>
      <c r="D344" s="280">
        <v>30</v>
      </c>
      <c r="E344" s="279">
        <f t="shared" si="5"/>
        <v>0.5</v>
      </c>
    </row>
    <row r="345" spans="1:5">
      <c r="A345" s="275" t="s">
        <v>1017</v>
      </c>
      <c r="B345" s="276" t="s">
        <v>1469</v>
      </c>
      <c r="C345" s="277">
        <v>19.924383300000002</v>
      </c>
      <c r="D345" s="280">
        <v>30</v>
      </c>
      <c r="E345" s="279">
        <f t="shared" si="5"/>
        <v>0.5</v>
      </c>
    </row>
    <row r="346" spans="1:5">
      <c r="A346" s="275" t="s">
        <v>1018</v>
      </c>
      <c r="B346" s="276" t="s">
        <v>1469</v>
      </c>
      <c r="C346" s="277">
        <v>20.939638500000001</v>
      </c>
      <c r="D346" s="280">
        <v>30</v>
      </c>
      <c r="E346" s="279">
        <f t="shared" si="5"/>
        <v>0.5</v>
      </c>
    </row>
    <row r="347" spans="1:5">
      <c r="A347" s="275" t="s">
        <v>1019</v>
      </c>
      <c r="B347" s="276" t="s">
        <v>1469</v>
      </c>
      <c r="C347" s="277">
        <v>22.5894282</v>
      </c>
      <c r="D347" s="280">
        <v>30</v>
      </c>
      <c r="E347" s="279">
        <f t="shared" si="5"/>
        <v>0.5</v>
      </c>
    </row>
    <row r="348" spans="1:5">
      <c r="A348" s="275" t="s">
        <v>1020</v>
      </c>
      <c r="B348" s="276" t="s">
        <v>1469</v>
      </c>
      <c r="C348" s="277">
        <v>23.858497200000002</v>
      </c>
      <c r="D348" s="280">
        <v>30</v>
      </c>
      <c r="E348" s="279">
        <f t="shared" si="5"/>
        <v>0.5</v>
      </c>
    </row>
    <row r="349" spans="1:5">
      <c r="A349" s="275" t="s">
        <v>1021</v>
      </c>
      <c r="B349" s="276" t="s">
        <v>1469</v>
      </c>
      <c r="C349" s="277">
        <v>27.158076599999994</v>
      </c>
      <c r="D349" s="280">
        <v>30</v>
      </c>
      <c r="E349" s="279">
        <f t="shared" si="5"/>
        <v>0.5</v>
      </c>
    </row>
    <row r="350" spans="1:5">
      <c r="A350" s="275" t="s">
        <v>1470</v>
      </c>
      <c r="B350" s="276" t="s">
        <v>1471</v>
      </c>
      <c r="C350" s="277">
        <v>20.051290200000004</v>
      </c>
      <c r="D350" s="280">
        <v>30</v>
      </c>
      <c r="E350" s="279">
        <f t="shared" si="5"/>
        <v>0.5</v>
      </c>
    </row>
    <row r="351" spans="1:5">
      <c r="A351" s="275" t="s">
        <v>1009</v>
      </c>
      <c r="B351" s="276" t="s">
        <v>1471</v>
      </c>
      <c r="C351" s="277">
        <v>23.477776500000001</v>
      </c>
      <c r="D351" s="280">
        <v>30</v>
      </c>
      <c r="E351" s="279">
        <f t="shared" si="5"/>
        <v>0.5</v>
      </c>
    </row>
    <row r="352" spans="1:5">
      <c r="A352" s="275" t="s">
        <v>1010</v>
      </c>
      <c r="B352" s="276" t="s">
        <v>1471</v>
      </c>
      <c r="C352" s="277">
        <v>25.000659300000002</v>
      </c>
      <c r="D352" s="280">
        <v>30</v>
      </c>
      <c r="E352" s="279">
        <f t="shared" si="5"/>
        <v>0.5</v>
      </c>
    </row>
    <row r="353" spans="1:5">
      <c r="A353" s="275" t="s">
        <v>1472</v>
      </c>
      <c r="B353" s="276" t="s">
        <v>1471</v>
      </c>
      <c r="C353" s="277">
        <v>26.650448999999995</v>
      </c>
      <c r="D353" s="280">
        <v>30</v>
      </c>
      <c r="E353" s="279">
        <f t="shared" si="5"/>
        <v>0.5</v>
      </c>
    </row>
    <row r="354" spans="1:5">
      <c r="A354" s="275" t="s">
        <v>1012</v>
      </c>
      <c r="B354" s="276" t="s">
        <v>1471</v>
      </c>
      <c r="C354" s="277">
        <v>27.538797299999999</v>
      </c>
      <c r="D354" s="280">
        <v>30</v>
      </c>
      <c r="E354" s="279">
        <f t="shared" si="5"/>
        <v>0.5</v>
      </c>
    </row>
    <row r="355" spans="1:5">
      <c r="A355" s="275" t="s">
        <v>1013</v>
      </c>
      <c r="B355" s="276" t="s">
        <v>1471</v>
      </c>
      <c r="C355" s="277">
        <v>28.680959399999999</v>
      </c>
      <c r="D355" s="280">
        <v>30</v>
      </c>
      <c r="E355" s="279">
        <f t="shared" si="5"/>
        <v>0.5</v>
      </c>
    </row>
    <row r="356" spans="1:5">
      <c r="A356" s="275" t="s">
        <v>1473</v>
      </c>
      <c r="B356" s="276" t="s">
        <v>1471</v>
      </c>
      <c r="C356" s="277">
        <v>31.219097399999999</v>
      </c>
      <c r="D356" s="280">
        <v>30</v>
      </c>
      <c r="E356" s="279">
        <f t="shared" si="5"/>
        <v>0.5</v>
      </c>
    </row>
    <row r="357" spans="1:5">
      <c r="A357" s="275" t="s">
        <v>618</v>
      </c>
      <c r="B357" s="276" t="s">
        <v>1474</v>
      </c>
      <c r="C357" s="277">
        <v>68.149005299999999</v>
      </c>
      <c r="D357" s="280">
        <v>30</v>
      </c>
      <c r="E357" s="279">
        <f t="shared" si="5"/>
        <v>0.5</v>
      </c>
    </row>
    <row r="358" spans="1:5">
      <c r="A358" s="275" t="s">
        <v>620</v>
      </c>
      <c r="B358" s="276" t="s">
        <v>1475</v>
      </c>
      <c r="C358" s="277">
        <v>103.5560304</v>
      </c>
      <c r="D358" s="280">
        <v>30</v>
      </c>
      <c r="E358" s="279">
        <f t="shared" si="5"/>
        <v>0.5</v>
      </c>
    </row>
    <row r="359" spans="1:5">
      <c r="A359" s="275" t="s">
        <v>444</v>
      </c>
      <c r="B359" s="276" t="s">
        <v>1476</v>
      </c>
      <c r="C359" s="277">
        <v>64.468705200000002</v>
      </c>
      <c r="D359" s="280">
        <v>30</v>
      </c>
      <c r="E359" s="279">
        <f t="shared" si="5"/>
        <v>0.5</v>
      </c>
    </row>
    <row r="360" spans="1:5">
      <c r="A360" s="275" t="s">
        <v>446</v>
      </c>
      <c r="B360" s="276" t="s">
        <v>1477</v>
      </c>
      <c r="C360" s="277">
        <v>99.495009600000003</v>
      </c>
      <c r="D360" s="280">
        <v>30</v>
      </c>
      <c r="E360" s="279">
        <f t="shared" si="5"/>
        <v>0.5</v>
      </c>
    </row>
    <row r="361" spans="1:5">
      <c r="A361" s="275" t="s">
        <v>622</v>
      </c>
      <c r="B361" s="276" t="s">
        <v>1478</v>
      </c>
      <c r="C361" s="277">
        <v>65.610867299999995</v>
      </c>
      <c r="D361" s="280">
        <v>30</v>
      </c>
      <c r="E361" s="279">
        <f t="shared" si="5"/>
        <v>0.5</v>
      </c>
    </row>
    <row r="362" spans="1:5">
      <c r="A362" s="275" t="s">
        <v>624</v>
      </c>
      <c r="B362" s="276" t="s">
        <v>1479</v>
      </c>
      <c r="C362" s="277">
        <v>102.03314759999999</v>
      </c>
      <c r="D362" s="280">
        <v>30</v>
      </c>
      <c r="E362" s="279">
        <f t="shared" si="5"/>
        <v>0.5</v>
      </c>
    </row>
    <row r="363" spans="1:5">
      <c r="A363" s="275" t="s">
        <v>450</v>
      </c>
      <c r="B363" s="276" t="s">
        <v>1480</v>
      </c>
      <c r="C363" s="277">
        <v>80.332067699999996</v>
      </c>
      <c r="D363" s="280">
        <v>30</v>
      </c>
      <c r="E363" s="279">
        <f t="shared" si="5"/>
        <v>0.5</v>
      </c>
    </row>
    <row r="364" spans="1:5">
      <c r="A364" s="275" t="s">
        <v>452</v>
      </c>
      <c r="B364" s="276" t="s">
        <v>1481</v>
      </c>
      <c r="C364" s="277">
        <v>83.885460899999998</v>
      </c>
      <c r="D364" s="280">
        <v>30</v>
      </c>
      <c r="E364" s="279">
        <f t="shared" si="5"/>
        <v>0.5</v>
      </c>
    </row>
    <row r="365" spans="1:5">
      <c r="A365" s="275" t="s">
        <v>454</v>
      </c>
      <c r="B365" s="276" t="s">
        <v>1482</v>
      </c>
      <c r="C365" s="277">
        <v>61.549846500000001</v>
      </c>
      <c r="D365" s="280">
        <v>30</v>
      </c>
      <c r="E365" s="279">
        <f t="shared" si="5"/>
        <v>0.5</v>
      </c>
    </row>
    <row r="366" spans="1:5">
      <c r="A366" s="275" t="s">
        <v>439</v>
      </c>
      <c r="B366" s="276" t="s">
        <v>1483</v>
      </c>
      <c r="C366" s="277">
        <v>25.762100699999998</v>
      </c>
      <c r="D366" s="280">
        <v>15</v>
      </c>
      <c r="E366" s="279">
        <f t="shared" si="5"/>
        <v>0.25</v>
      </c>
    </row>
    <row r="367" spans="1:5">
      <c r="A367" s="275" t="s">
        <v>216</v>
      </c>
      <c r="B367" s="276" t="s">
        <v>1484</v>
      </c>
      <c r="C367" s="277">
        <v>24.873752400000001</v>
      </c>
      <c r="D367" s="280">
        <v>15</v>
      </c>
      <c r="E367" s="279">
        <f t="shared" si="5"/>
        <v>0.25</v>
      </c>
    </row>
    <row r="368" spans="1:5">
      <c r="A368" s="275" t="s">
        <v>441</v>
      </c>
      <c r="B368" s="276" t="s">
        <v>1485</v>
      </c>
      <c r="C368" s="277">
        <v>24.873752400000001</v>
      </c>
      <c r="D368" s="280">
        <v>15</v>
      </c>
      <c r="E368" s="279">
        <f t="shared" si="5"/>
        <v>0.25</v>
      </c>
    </row>
    <row r="369" spans="1:5">
      <c r="A369" s="275" t="s">
        <v>1022</v>
      </c>
      <c r="B369" s="276" t="s">
        <v>1486</v>
      </c>
      <c r="C369" s="277">
        <v>54.950687700000003</v>
      </c>
      <c r="D369" s="280">
        <v>15</v>
      </c>
      <c r="E369" s="279">
        <f t="shared" si="5"/>
        <v>0.25</v>
      </c>
    </row>
    <row r="370" spans="1:5">
      <c r="A370" s="275" t="s">
        <v>218</v>
      </c>
      <c r="B370" s="276" t="s">
        <v>1452</v>
      </c>
      <c r="C370" s="277">
        <v>31.472911200000002</v>
      </c>
      <c r="D370" s="280">
        <v>15</v>
      </c>
      <c r="E370" s="279">
        <f t="shared" si="5"/>
        <v>0.25</v>
      </c>
    </row>
    <row r="371" spans="1:5">
      <c r="A371" s="275" t="s">
        <v>442</v>
      </c>
      <c r="B371" s="276" t="s">
        <v>1453</v>
      </c>
      <c r="C371" s="277">
        <v>31.472911200000002</v>
      </c>
      <c r="D371" s="280">
        <v>15</v>
      </c>
      <c r="E371" s="279">
        <f t="shared" si="5"/>
        <v>0.25</v>
      </c>
    </row>
    <row r="372" spans="1:5">
      <c r="A372" s="275" t="s">
        <v>220</v>
      </c>
      <c r="B372" s="276" t="s">
        <v>1452</v>
      </c>
      <c r="C372" s="277">
        <v>49.239877199999995</v>
      </c>
      <c r="D372" s="280">
        <v>15</v>
      </c>
      <c r="E372" s="279">
        <f t="shared" si="5"/>
        <v>0.25</v>
      </c>
    </row>
    <row r="373" spans="1:5">
      <c r="A373" s="275" t="s">
        <v>448</v>
      </c>
      <c r="B373" s="276" t="s">
        <v>1453</v>
      </c>
      <c r="C373" s="277">
        <v>49.239877199999995</v>
      </c>
      <c r="D373" s="280">
        <v>15</v>
      </c>
      <c r="E373" s="279">
        <f t="shared" si="5"/>
        <v>0.25</v>
      </c>
    </row>
    <row r="374" spans="1:5">
      <c r="A374" s="275" t="s">
        <v>222</v>
      </c>
      <c r="B374" s="276" t="s">
        <v>1487</v>
      </c>
      <c r="C374" s="277">
        <v>22.716335100000002</v>
      </c>
      <c r="D374" s="280">
        <v>15</v>
      </c>
      <c r="E374" s="279">
        <f t="shared" si="5"/>
        <v>0.25</v>
      </c>
    </row>
    <row r="375" spans="1:5">
      <c r="A375" s="275" t="s">
        <v>224</v>
      </c>
      <c r="B375" s="276" t="s">
        <v>1452</v>
      </c>
      <c r="C375" s="277">
        <v>55.712129099999999</v>
      </c>
      <c r="D375" s="280">
        <v>15</v>
      </c>
      <c r="E375" s="279">
        <f t="shared" si="5"/>
        <v>0.25</v>
      </c>
    </row>
    <row r="376" spans="1:5">
      <c r="A376" s="275" t="s">
        <v>456</v>
      </c>
      <c r="B376" s="276" t="s">
        <v>1453</v>
      </c>
      <c r="C376" s="277">
        <v>55.712129099999999</v>
      </c>
      <c r="D376" s="280">
        <v>15</v>
      </c>
      <c r="E376" s="279">
        <f t="shared" si="5"/>
        <v>0.25</v>
      </c>
    </row>
    <row r="377" spans="1:5">
      <c r="A377" s="275" t="s">
        <v>226</v>
      </c>
      <c r="B377" s="276" t="s">
        <v>1452</v>
      </c>
      <c r="C377" s="277">
        <v>77.920836600000001</v>
      </c>
      <c r="D377" s="280">
        <v>15</v>
      </c>
      <c r="E377" s="279">
        <f t="shared" si="5"/>
        <v>0.25</v>
      </c>
    </row>
    <row r="378" spans="1:5">
      <c r="A378" s="275" t="s">
        <v>458</v>
      </c>
      <c r="B378" s="276" t="s">
        <v>1453</v>
      </c>
      <c r="C378" s="277">
        <v>77.920836600000001</v>
      </c>
      <c r="D378" s="280">
        <v>15</v>
      </c>
      <c r="E378" s="279">
        <f t="shared" si="5"/>
        <v>0.25</v>
      </c>
    </row>
    <row r="379" spans="1:5">
      <c r="A379" s="275" t="s">
        <v>460</v>
      </c>
      <c r="B379" s="276" t="s">
        <v>1488</v>
      </c>
      <c r="C379" s="277">
        <v>99.748823399999992</v>
      </c>
      <c r="D379" s="280">
        <v>15</v>
      </c>
      <c r="E379" s="279">
        <f t="shared" si="5"/>
        <v>0.25</v>
      </c>
    </row>
    <row r="380" spans="1:5">
      <c r="A380" s="275" t="s">
        <v>626</v>
      </c>
      <c r="B380" s="276" t="s">
        <v>1489</v>
      </c>
      <c r="C380" s="277">
        <v>99.748823399999992</v>
      </c>
      <c r="D380" s="280">
        <v>15</v>
      </c>
      <c r="E380" s="279">
        <f t="shared" si="5"/>
        <v>0.25</v>
      </c>
    </row>
    <row r="381" spans="1:5">
      <c r="A381" s="275" t="s">
        <v>1024</v>
      </c>
      <c r="B381" s="276" t="s">
        <v>1490</v>
      </c>
      <c r="C381" s="277">
        <v>222.21398190000002</v>
      </c>
      <c r="D381" s="280">
        <v>30</v>
      </c>
      <c r="E381" s="279">
        <f t="shared" si="5"/>
        <v>0.5</v>
      </c>
    </row>
    <row r="382" spans="1:5">
      <c r="A382" s="283" t="s">
        <v>1026</v>
      </c>
      <c r="B382" s="276" t="s">
        <v>1491</v>
      </c>
      <c r="C382" s="277">
        <v>290.61680100000007</v>
      </c>
      <c r="D382" s="280">
        <v>30</v>
      </c>
      <c r="E382" s="279">
        <f t="shared" si="5"/>
        <v>0.5</v>
      </c>
    </row>
    <row r="383" spans="1:5">
      <c r="A383" s="275" t="s">
        <v>1028</v>
      </c>
      <c r="B383" s="276" t="s">
        <v>1492</v>
      </c>
      <c r="C383" s="277">
        <v>290.61680100000007</v>
      </c>
      <c r="D383" s="280">
        <v>30</v>
      </c>
      <c r="E383" s="279">
        <f t="shared" si="5"/>
        <v>0.5</v>
      </c>
    </row>
    <row r="384" spans="1:5">
      <c r="A384" s="275" t="s">
        <v>462</v>
      </c>
      <c r="B384" s="276" t="s">
        <v>1493</v>
      </c>
      <c r="C384" s="277">
        <v>567.02002920000007</v>
      </c>
      <c r="D384" s="280">
        <v>30</v>
      </c>
      <c r="E384" s="279">
        <f t="shared" si="5"/>
        <v>0.5</v>
      </c>
    </row>
    <row r="385" spans="1:5">
      <c r="A385" s="275" t="s">
        <v>1030</v>
      </c>
      <c r="B385" s="276" t="s">
        <v>1494</v>
      </c>
      <c r="C385" s="277">
        <v>353.30880960000002</v>
      </c>
      <c r="D385" s="280">
        <v>30</v>
      </c>
      <c r="E385" s="279">
        <f t="shared" si="5"/>
        <v>0.5</v>
      </c>
    </row>
    <row r="386" spans="1:5">
      <c r="A386" s="275" t="s">
        <v>1032</v>
      </c>
      <c r="B386" s="276" t="s">
        <v>1495</v>
      </c>
      <c r="C386" s="277">
        <v>353.30880960000002</v>
      </c>
      <c r="D386" s="280">
        <v>30</v>
      </c>
      <c r="E386" s="279">
        <f t="shared" si="5"/>
        <v>0.5</v>
      </c>
    </row>
    <row r="387" spans="1:5">
      <c r="A387" s="275" t="s">
        <v>1496</v>
      </c>
      <c r="B387" s="276" t="s">
        <v>1497</v>
      </c>
      <c r="C387" s="277">
        <v>317.90178450000002</v>
      </c>
      <c r="D387" s="280">
        <v>30</v>
      </c>
      <c r="E387" s="279">
        <f t="shared" ref="E387:E450" si="6">D387/60</f>
        <v>0.5</v>
      </c>
    </row>
    <row r="388" spans="1:5">
      <c r="A388" s="275" t="s">
        <v>1498</v>
      </c>
      <c r="B388" s="276" t="s">
        <v>1499</v>
      </c>
      <c r="C388" s="277">
        <v>317.90178450000002</v>
      </c>
      <c r="D388" s="280">
        <v>30</v>
      </c>
      <c r="E388" s="279">
        <f t="shared" si="6"/>
        <v>0.5</v>
      </c>
    </row>
    <row r="389" spans="1:5">
      <c r="A389" s="275" t="s">
        <v>1500</v>
      </c>
      <c r="B389" s="276" t="s">
        <v>1501</v>
      </c>
      <c r="C389" s="277">
        <v>375.13679640000004</v>
      </c>
      <c r="D389" s="280">
        <v>30</v>
      </c>
      <c r="E389" s="279">
        <f t="shared" si="6"/>
        <v>0.5</v>
      </c>
    </row>
    <row r="390" spans="1:5">
      <c r="A390" s="275" t="s">
        <v>1502</v>
      </c>
      <c r="B390" s="276" t="s">
        <v>1501</v>
      </c>
      <c r="C390" s="277">
        <v>375.13679640000004</v>
      </c>
      <c r="D390" s="280">
        <v>30</v>
      </c>
      <c r="E390" s="279">
        <f t="shared" si="6"/>
        <v>0.5</v>
      </c>
    </row>
    <row r="391" spans="1:5">
      <c r="A391" s="275" t="s">
        <v>628</v>
      </c>
      <c r="B391" s="276" t="s">
        <v>364</v>
      </c>
      <c r="C391" s="277">
        <v>81.98185740000001</v>
      </c>
      <c r="D391" s="280">
        <v>15</v>
      </c>
      <c r="E391" s="279">
        <f t="shared" si="6"/>
        <v>0.25</v>
      </c>
    </row>
    <row r="392" spans="1:5">
      <c r="A392" s="275" t="s">
        <v>629</v>
      </c>
      <c r="B392" s="276" t="s">
        <v>364</v>
      </c>
      <c r="C392" s="277">
        <v>88.454109299999999</v>
      </c>
      <c r="D392" s="280">
        <v>15</v>
      </c>
      <c r="E392" s="279">
        <f t="shared" si="6"/>
        <v>0.25</v>
      </c>
    </row>
    <row r="393" spans="1:5">
      <c r="A393" s="275" t="s">
        <v>1046</v>
      </c>
      <c r="B393" s="276" t="s">
        <v>1503</v>
      </c>
      <c r="C393" s="277">
        <v>642.14891399999999</v>
      </c>
      <c r="D393" s="280">
        <v>30</v>
      </c>
      <c r="E393" s="279">
        <f t="shared" si="6"/>
        <v>0.5</v>
      </c>
    </row>
    <row r="394" spans="1:5">
      <c r="A394" s="275" t="s">
        <v>1048</v>
      </c>
      <c r="B394" s="276" t="s">
        <v>1503</v>
      </c>
      <c r="C394" s="277">
        <v>642.14891399999999</v>
      </c>
      <c r="D394" s="280">
        <v>30</v>
      </c>
      <c r="E394" s="279">
        <f t="shared" si="6"/>
        <v>0.5</v>
      </c>
    </row>
    <row r="395" spans="1:5">
      <c r="A395" s="275" t="s">
        <v>1050</v>
      </c>
      <c r="B395" s="276" t="s">
        <v>1504</v>
      </c>
      <c r="C395" s="277">
        <v>39.087325199999995</v>
      </c>
      <c r="D395" s="280">
        <v>30</v>
      </c>
      <c r="E395" s="279">
        <f t="shared" si="6"/>
        <v>0.5</v>
      </c>
    </row>
    <row r="396" spans="1:5">
      <c r="A396" s="275" t="s">
        <v>466</v>
      </c>
      <c r="B396" s="276" t="s">
        <v>1505</v>
      </c>
      <c r="C396" s="277">
        <v>5.3300897999999997</v>
      </c>
      <c r="D396" s="280">
        <v>15</v>
      </c>
      <c r="E396" s="279">
        <f t="shared" si="6"/>
        <v>0.25</v>
      </c>
    </row>
    <row r="397" spans="1:5">
      <c r="A397" s="275" t="s">
        <v>631</v>
      </c>
      <c r="B397" s="276" t="s">
        <v>1460</v>
      </c>
      <c r="C397" s="277">
        <v>5.3300897999999997</v>
      </c>
      <c r="D397" s="280">
        <v>15</v>
      </c>
      <c r="E397" s="279">
        <f t="shared" si="6"/>
        <v>0.25</v>
      </c>
    </row>
    <row r="398" spans="1:5">
      <c r="A398" s="275" t="s">
        <v>467</v>
      </c>
      <c r="B398" s="276" t="s">
        <v>1461</v>
      </c>
      <c r="C398" s="277">
        <v>6.4722518999999998</v>
      </c>
      <c r="D398" s="280">
        <v>15</v>
      </c>
      <c r="E398" s="279">
        <f t="shared" si="6"/>
        <v>0.25</v>
      </c>
    </row>
    <row r="399" spans="1:5">
      <c r="A399" s="275" t="s">
        <v>632</v>
      </c>
      <c r="B399" s="276" t="s">
        <v>1462</v>
      </c>
      <c r="C399" s="277">
        <v>6.4722518999999998</v>
      </c>
      <c r="D399" s="280">
        <v>15</v>
      </c>
      <c r="E399" s="279">
        <f t="shared" si="6"/>
        <v>0.25</v>
      </c>
    </row>
    <row r="400" spans="1:5">
      <c r="A400" s="275" t="s">
        <v>468</v>
      </c>
      <c r="B400" s="276" t="s">
        <v>1452</v>
      </c>
      <c r="C400" s="277">
        <v>10.4063658</v>
      </c>
      <c r="D400" s="280">
        <v>15</v>
      </c>
      <c r="E400" s="279">
        <f t="shared" si="6"/>
        <v>0.25</v>
      </c>
    </row>
    <row r="401" spans="1:5">
      <c r="A401" s="275" t="s">
        <v>633</v>
      </c>
      <c r="B401" s="276" t="s">
        <v>1453</v>
      </c>
      <c r="C401" s="277">
        <v>10.4063658</v>
      </c>
      <c r="D401" s="280">
        <v>15</v>
      </c>
      <c r="E401" s="279">
        <f t="shared" si="6"/>
        <v>0.25</v>
      </c>
    </row>
    <row r="402" spans="1:5">
      <c r="A402" s="275" t="s">
        <v>469</v>
      </c>
      <c r="B402" s="276" t="s">
        <v>1452</v>
      </c>
      <c r="C402" s="277">
        <v>16.3709901</v>
      </c>
      <c r="D402" s="280">
        <v>15</v>
      </c>
      <c r="E402" s="279">
        <f t="shared" si="6"/>
        <v>0.25</v>
      </c>
    </row>
    <row r="403" spans="1:5">
      <c r="A403" s="275" t="s">
        <v>634</v>
      </c>
      <c r="B403" s="276" t="s">
        <v>1453</v>
      </c>
      <c r="C403" s="277">
        <v>16.3709901</v>
      </c>
      <c r="D403" s="280">
        <v>15</v>
      </c>
      <c r="E403" s="279">
        <f t="shared" si="6"/>
        <v>0.25</v>
      </c>
    </row>
    <row r="404" spans="1:5">
      <c r="A404" s="275" t="s">
        <v>470</v>
      </c>
      <c r="B404" s="276" t="s">
        <v>1506</v>
      </c>
      <c r="C404" s="277">
        <v>436.30592219999994</v>
      </c>
      <c r="D404" s="280">
        <v>25</v>
      </c>
      <c r="E404" s="279">
        <f t="shared" si="6"/>
        <v>0.41666666666666669</v>
      </c>
    </row>
    <row r="405" spans="1:5">
      <c r="A405" s="275" t="s">
        <v>635</v>
      </c>
      <c r="B405" s="276" t="s">
        <v>1507</v>
      </c>
      <c r="C405" s="277">
        <v>33.884142299999993</v>
      </c>
      <c r="D405" s="280">
        <v>15</v>
      </c>
      <c r="E405" s="279">
        <f t="shared" si="6"/>
        <v>0.25</v>
      </c>
    </row>
    <row r="406" spans="1:5">
      <c r="A406" s="275" t="s">
        <v>637</v>
      </c>
      <c r="B406" s="276" t="s">
        <v>1508</v>
      </c>
      <c r="C406" s="277">
        <v>42.006183899999996</v>
      </c>
      <c r="D406" s="280">
        <v>15</v>
      </c>
      <c r="E406" s="279">
        <f t="shared" si="6"/>
        <v>0.25</v>
      </c>
    </row>
    <row r="407" spans="1:5">
      <c r="A407" s="275" t="s">
        <v>1509</v>
      </c>
      <c r="B407" s="276" t="s">
        <v>1510</v>
      </c>
      <c r="C407" s="277">
        <v>36.676094099999993</v>
      </c>
      <c r="D407" s="280">
        <v>15</v>
      </c>
      <c r="E407" s="279">
        <f t="shared" si="6"/>
        <v>0.25</v>
      </c>
    </row>
    <row r="408" spans="1:5">
      <c r="A408" s="275" t="s">
        <v>1511</v>
      </c>
      <c r="B408" s="276" t="s">
        <v>343</v>
      </c>
      <c r="C408" s="277">
        <v>224.24449229999999</v>
      </c>
      <c r="D408" s="280">
        <v>25</v>
      </c>
      <c r="E408" s="279">
        <f t="shared" si="6"/>
        <v>0.41666666666666669</v>
      </c>
    </row>
    <row r="409" spans="1:5">
      <c r="A409" s="275" t="s">
        <v>655</v>
      </c>
      <c r="B409" s="276" t="s">
        <v>1512</v>
      </c>
      <c r="C409" s="277">
        <v>55.585222200000004</v>
      </c>
      <c r="D409" s="280">
        <v>15</v>
      </c>
      <c r="E409" s="279">
        <f t="shared" si="6"/>
        <v>0.25</v>
      </c>
    </row>
    <row r="410" spans="1:5">
      <c r="A410" s="275" t="s">
        <v>230</v>
      </c>
      <c r="B410" s="276" t="s">
        <v>1513</v>
      </c>
      <c r="C410" s="277">
        <v>26.396635199999995</v>
      </c>
      <c r="D410" s="280">
        <v>25</v>
      </c>
      <c r="E410" s="279">
        <f t="shared" si="6"/>
        <v>0.41666666666666669</v>
      </c>
    </row>
    <row r="411" spans="1:5">
      <c r="A411" s="275" t="s">
        <v>472</v>
      </c>
      <c r="B411" s="276" t="s">
        <v>1514</v>
      </c>
      <c r="C411" s="277">
        <v>26.396635199999995</v>
      </c>
      <c r="D411" s="280">
        <v>25</v>
      </c>
      <c r="E411" s="279">
        <f t="shared" si="6"/>
        <v>0.41666666666666669</v>
      </c>
    </row>
    <row r="412" spans="1:5">
      <c r="A412" s="275" t="s">
        <v>639</v>
      </c>
      <c r="B412" s="276" t="s">
        <v>1514</v>
      </c>
      <c r="C412" s="277">
        <v>30.838376699999998</v>
      </c>
      <c r="D412" s="280">
        <v>25</v>
      </c>
      <c r="E412" s="279">
        <f t="shared" si="6"/>
        <v>0.41666666666666669</v>
      </c>
    </row>
    <row r="413" spans="1:5">
      <c r="A413" s="275" t="s">
        <v>1056</v>
      </c>
      <c r="B413" s="276" t="s">
        <v>1515</v>
      </c>
      <c r="C413" s="277">
        <v>12.69069</v>
      </c>
      <c r="D413" s="280">
        <v>4</v>
      </c>
      <c r="E413" s="279">
        <f t="shared" si="6"/>
        <v>6.6666666666666666E-2</v>
      </c>
    </row>
    <row r="414" spans="1:5">
      <c r="A414" s="275" t="s">
        <v>474</v>
      </c>
      <c r="B414" s="276" t="s">
        <v>1514</v>
      </c>
      <c r="C414" s="277">
        <v>30.838376699999998</v>
      </c>
      <c r="D414" s="280">
        <v>25</v>
      </c>
      <c r="E414" s="279">
        <f t="shared" si="6"/>
        <v>0.41666666666666669</v>
      </c>
    </row>
    <row r="415" spans="1:5">
      <c r="A415" s="275" t="s">
        <v>232</v>
      </c>
      <c r="B415" s="276" t="s">
        <v>1516</v>
      </c>
      <c r="C415" s="277">
        <v>63.326543100000009</v>
      </c>
      <c r="D415" s="280">
        <v>25</v>
      </c>
      <c r="E415" s="279">
        <f t="shared" si="6"/>
        <v>0.41666666666666669</v>
      </c>
    </row>
    <row r="416" spans="1:5">
      <c r="A416" s="275" t="s">
        <v>476</v>
      </c>
      <c r="B416" s="276" t="s">
        <v>1516</v>
      </c>
      <c r="C416" s="277">
        <v>63.326543100000009</v>
      </c>
      <c r="D416" s="280">
        <v>25</v>
      </c>
      <c r="E416" s="279">
        <f t="shared" si="6"/>
        <v>0.41666666666666669</v>
      </c>
    </row>
    <row r="417" spans="1:5">
      <c r="A417" s="275" t="s">
        <v>641</v>
      </c>
      <c r="B417" s="276" t="s">
        <v>1516</v>
      </c>
      <c r="C417" s="277">
        <v>73.859815799999993</v>
      </c>
      <c r="D417" s="280">
        <v>25</v>
      </c>
      <c r="E417" s="279">
        <f t="shared" si="6"/>
        <v>0.41666666666666669</v>
      </c>
    </row>
    <row r="418" spans="1:5">
      <c r="A418" s="275" t="s">
        <v>478</v>
      </c>
      <c r="B418" s="276" t="s">
        <v>1516</v>
      </c>
      <c r="C418" s="277">
        <v>73.225281299999992</v>
      </c>
      <c r="D418" s="280">
        <v>25</v>
      </c>
      <c r="E418" s="279">
        <f t="shared" si="6"/>
        <v>0.41666666666666669</v>
      </c>
    </row>
    <row r="419" spans="1:5">
      <c r="A419" s="283" t="s">
        <v>234</v>
      </c>
      <c r="B419" s="275" t="s">
        <v>1517</v>
      </c>
      <c r="C419" s="277">
        <v>199.1169261</v>
      </c>
      <c r="D419" s="280">
        <v>30</v>
      </c>
      <c r="E419" s="279">
        <f t="shared" si="6"/>
        <v>0.5</v>
      </c>
    </row>
    <row r="420" spans="1:5">
      <c r="A420" s="275" t="s">
        <v>1058</v>
      </c>
      <c r="B420" s="276" t="s">
        <v>1518</v>
      </c>
      <c r="C420" s="277">
        <v>126.1454586</v>
      </c>
      <c r="D420" s="280">
        <v>5</v>
      </c>
      <c r="E420" s="279">
        <f t="shared" si="6"/>
        <v>8.3333333333333329E-2</v>
      </c>
    </row>
    <row r="421" spans="1:5">
      <c r="A421" s="275" t="s">
        <v>1060</v>
      </c>
      <c r="B421" s="276" t="s">
        <v>1519</v>
      </c>
      <c r="C421" s="277">
        <v>10.660179599999999</v>
      </c>
      <c r="D421" s="280">
        <v>5</v>
      </c>
      <c r="E421" s="279">
        <f t="shared" si="6"/>
        <v>8.3333333333333329E-2</v>
      </c>
    </row>
    <row r="422" spans="1:5">
      <c r="A422" s="275" t="s">
        <v>643</v>
      </c>
      <c r="B422" s="276" t="s">
        <v>1520</v>
      </c>
      <c r="C422" s="281">
        <v>93.065060000000003</v>
      </c>
      <c r="D422" s="280">
        <v>30</v>
      </c>
      <c r="E422" s="279">
        <f t="shared" si="6"/>
        <v>0.5</v>
      </c>
    </row>
    <row r="423" spans="1:5">
      <c r="A423" s="275" t="s">
        <v>236</v>
      </c>
      <c r="B423" s="276" t="s">
        <v>1521</v>
      </c>
      <c r="C423" s="277">
        <v>88.707923100000002</v>
      </c>
      <c r="D423" s="280">
        <v>30</v>
      </c>
      <c r="E423" s="279">
        <f t="shared" si="6"/>
        <v>0.5</v>
      </c>
    </row>
    <row r="424" spans="1:5">
      <c r="A424" s="275" t="s">
        <v>238</v>
      </c>
      <c r="B424" s="276" t="s">
        <v>1522</v>
      </c>
      <c r="C424" s="277">
        <v>107.23633049999998</v>
      </c>
      <c r="D424" s="280">
        <v>30</v>
      </c>
      <c r="E424" s="279">
        <f t="shared" si="6"/>
        <v>0.5</v>
      </c>
    </row>
    <row r="425" spans="1:5">
      <c r="A425" s="275" t="s">
        <v>1062</v>
      </c>
      <c r="B425" s="276" t="s">
        <v>1523</v>
      </c>
      <c r="C425" s="277">
        <v>53.5547118</v>
      </c>
      <c r="D425" s="280">
        <v>5</v>
      </c>
      <c r="E425" s="279">
        <f t="shared" si="6"/>
        <v>8.3333333333333329E-2</v>
      </c>
    </row>
    <row r="426" spans="1:5">
      <c r="A426" s="275" t="s">
        <v>480</v>
      </c>
      <c r="B426" s="276" t="s">
        <v>1524</v>
      </c>
      <c r="C426" s="277">
        <v>91.372968</v>
      </c>
      <c r="D426" s="280">
        <v>30</v>
      </c>
      <c r="E426" s="279">
        <f t="shared" si="6"/>
        <v>0.5</v>
      </c>
    </row>
    <row r="427" spans="1:5">
      <c r="A427" s="283" t="s">
        <v>482</v>
      </c>
      <c r="B427" s="275" t="s">
        <v>1525</v>
      </c>
      <c r="C427" s="281">
        <v>121.32299640000001</v>
      </c>
      <c r="D427" s="280">
        <v>20</v>
      </c>
      <c r="E427" s="279">
        <f t="shared" si="6"/>
        <v>0.33333333333333331</v>
      </c>
    </row>
    <row r="428" spans="1:5">
      <c r="A428" s="283" t="s">
        <v>240</v>
      </c>
      <c r="B428" s="275" t="s">
        <v>1526</v>
      </c>
      <c r="C428" s="281">
        <v>233.00106839999998</v>
      </c>
      <c r="D428" s="282">
        <v>30</v>
      </c>
      <c r="E428" s="279">
        <f t="shared" si="6"/>
        <v>0.5</v>
      </c>
    </row>
    <row r="429" spans="1:5">
      <c r="A429" s="275" t="s">
        <v>242</v>
      </c>
      <c r="B429" s="275" t="s">
        <v>1527</v>
      </c>
      <c r="C429" s="281">
        <v>163.0753665</v>
      </c>
      <c r="D429" s="282">
        <v>20</v>
      </c>
      <c r="E429" s="279">
        <f t="shared" si="6"/>
        <v>0.33333333333333331</v>
      </c>
    </row>
    <row r="430" spans="1:5">
      <c r="A430" s="275" t="s">
        <v>1064</v>
      </c>
      <c r="B430" s="275" t="s">
        <v>1515</v>
      </c>
      <c r="C430" s="281">
        <v>25.38138</v>
      </c>
      <c r="D430" s="282">
        <v>10</v>
      </c>
      <c r="E430" s="279">
        <f t="shared" si="6"/>
        <v>0.16666666666666666</v>
      </c>
    </row>
    <row r="431" spans="1:5">
      <c r="A431" s="275" t="s">
        <v>1066</v>
      </c>
      <c r="B431" s="275" t="s">
        <v>1515</v>
      </c>
      <c r="C431" s="281">
        <v>6.5991588000000005</v>
      </c>
      <c r="D431" s="282">
        <v>10</v>
      </c>
      <c r="E431" s="279">
        <f t="shared" si="6"/>
        <v>0.16666666666666666</v>
      </c>
    </row>
    <row r="432" spans="1:5">
      <c r="A432" s="275" t="s">
        <v>1068</v>
      </c>
      <c r="B432" s="275" t="s">
        <v>1515</v>
      </c>
      <c r="C432" s="281">
        <v>14.340479700000003</v>
      </c>
      <c r="D432" s="282">
        <v>10</v>
      </c>
      <c r="E432" s="279">
        <f t="shared" si="6"/>
        <v>0.16666666666666666</v>
      </c>
    </row>
    <row r="433" spans="1:5">
      <c r="A433" s="275" t="s">
        <v>1070</v>
      </c>
      <c r="B433" s="275" t="s">
        <v>1528</v>
      </c>
      <c r="C433" s="281">
        <v>29.950028399999997</v>
      </c>
      <c r="D433" s="282">
        <v>30</v>
      </c>
      <c r="E433" s="279">
        <f t="shared" si="6"/>
        <v>0.5</v>
      </c>
    </row>
    <row r="434" spans="1:5">
      <c r="A434" s="275" t="s">
        <v>1072</v>
      </c>
      <c r="B434" s="275" t="s">
        <v>1529</v>
      </c>
      <c r="C434" s="281">
        <v>32.868887099999995</v>
      </c>
      <c r="D434" s="282">
        <v>30</v>
      </c>
      <c r="E434" s="279">
        <f t="shared" si="6"/>
        <v>0.5</v>
      </c>
    </row>
    <row r="435" spans="1:5">
      <c r="A435" s="275" t="s">
        <v>1074</v>
      </c>
      <c r="B435" s="275" t="s">
        <v>1530</v>
      </c>
      <c r="C435" s="281">
        <v>37.310628600000001</v>
      </c>
      <c r="D435" s="282">
        <v>30</v>
      </c>
      <c r="E435" s="279">
        <f t="shared" si="6"/>
        <v>0.5</v>
      </c>
    </row>
    <row r="436" spans="1:5">
      <c r="A436" s="275" t="s">
        <v>1076</v>
      </c>
      <c r="B436" s="275" t="s">
        <v>1531</v>
      </c>
      <c r="C436" s="281">
        <v>40.356394199999997</v>
      </c>
      <c r="D436" s="282">
        <v>30</v>
      </c>
      <c r="E436" s="279">
        <f t="shared" si="6"/>
        <v>0.5</v>
      </c>
    </row>
    <row r="437" spans="1:5">
      <c r="A437" s="275" t="s">
        <v>244</v>
      </c>
      <c r="B437" s="275" t="s">
        <v>1532</v>
      </c>
      <c r="C437" s="281">
        <v>370.44124110000001</v>
      </c>
      <c r="D437" s="282">
        <v>30</v>
      </c>
      <c r="E437" s="279">
        <f t="shared" si="6"/>
        <v>0.5</v>
      </c>
    </row>
    <row r="438" spans="1:5">
      <c r="A438" s="275" t="s">
        <v>246</v>
      </c>
      <c r="B438" s="275" t="s">
        <v>1533</v>
      </c>
      <c r="C438" s="281">
        <v>364.85733749999997</v>
      </c>
      <c r="D438" s="282">
        <v>30</v>
      </c>
      <c r="E438" s="279">
        <f t="shared" si="6"/>
        <v>0.5</v>
      </c>
    </row>
    <row r="439" spans="1:5">
      <c r="A439" s="275" t="s">
        <v>248</v>
      </c>
      <c r="B439" s="275" t="s">
        <v>1534</v>
      </c>
      <c r="C439" s="281">
        <v>360.79631669999998</v>
      </c>
      <c r="D439" s="282">
        <v>30</v>
      </c>
      <c r="E439" s="279">
        <f t="shared" si="6"/>
        <v>0.5</v>
      </c>
    </row>
    <row r="440" spans="1:5">
      <c r="A440" s="275" t="s">
        <v>250</v>
      </c>
      <c r="B440" s="275" t="s">
        <v>1535</v>
      </c>
      <c r="C440" s="281">
        <v>357.36983039999996</v>
      </c>
      <c r="D440" s="282">
        <v>30</v>
      </c>
      <c r="E440" s="279">
        <f t="shared" si="6"/>
        <v>0.5</v>
      </c>
    </row>
    <row r="441" spans="1:5">
      <c r="A441" s="275" t="s">
        <v>252</v>
      </c>
      <c r="B441" s="275" t="s">
        <v>1536</v>
      </c>
      <c r="C441" s="281">
        <v>351.0244854</v>
      </c>
      <c r="D441" s="282">
        <v>30</v>
      </c>
      <c r="E441" s="279">
        <f t="shared" si="6"/>
        <v>0.5</v>
      </c>
    </row>
    <row r="442" spans="1:5">
      <c r="A442" s="275" t="s">
        <v>254</v>
      </c>
      <c r="B442" s="275" t="s">
        <v>1537</v>
      </c>
      <c r="C442" s="281">
        <v>322.08971220000001</v>
      </c>
      <c r="D442" s="282">
        <v>30</v>
      </c>
      <c r="E442" s="279">
        <f t="shared" si="6"/>
        <v>0.5</v>
      </c>
    </row>
    <row r="443" spans="1:5">
      <c r="A443" s="275" t="s">
        <v>255</v>
      </c>
      <c r="B443" s="275" t="s">
        <v>1538</v>
      </c>
      <c r="C443" s="281">
        <v>317.26724999999999</v>
      </c>
      <c r="D443" s="282">
        <v>30</v>
      </c>
      <c r="E443" s="279">
        <f t="shared" si="6"/>
        <v>0.5</v>
      </c>
    </row>
    <row r="444" spans="1:5">
      <c r="A444" s="275" t="s">
        <v>256</v>
      </c>
      <c r="B444" s="276" t="s">
        <v>1539</v>
      </c>
      <c r="C444" s="277">
        <v>313.71385680000003</v>
      </c>
      <c r="D444" s="282">
        <v>30</v>
      </c>
      <c r="E444" s="279">
        <f t="shared" si="6"/>
        <v>0.5</v>
      </c>
    </row>
    <row r="445" spans="1:5">
      <c r="A445" s="275" t="s">
        <v>257</v>
      </c>
      <c r="B445" s="276" t="s">
        <v>1540</v>
      </c>
      <c r="C445" s="277">
        <v>310.79499810000004</v>
      </c>
      <c r="D445" s="282">
        <v>30</v>
      </c>
      <c r="E445" s="279">
        <f t="shared" si="6"/>
        <v>0.5</v>
      </c>
    </row>
    <row r="446" spans="1:5">
      <c r="A446" s="275" t="s">
        <v>258</v>
      </c>
      <c r="B446" s="276" t="s">
        <v>1541</v>
      </c>
      <c r="C446" s="277">
        <v>305.2110945</v>
      </c>
      <c r="D446" s="282">
        <v>30</v>
      </c>
      <c r="E446" s="279">
        <f t="shared" si="6"/>
        <v>0.5</v>
      </c>
    </row>
    <row r="447" spans="1:5">
      <c r="A447" s="275" t="s">
        <v>488</v>
      </c>
      <c r="B447" s="276" t="s">
        <v>1542</v>
      </c>
      <c r="C447" s="277">
        <v>332.49607800000007</v>
      </c>
      <c r="D447" s="282">
        <v>30</v>
      </c>
      <c r="E447" s="279">
        <f t="shared" si="6"/>
        <v>0.5</v>
      </c>
    </row>
    <row r="448" spans="1:5">
      <c r="A448" s="275" t="s">
        <v>490</v>
      </c>
      <c r="B448" s="276" t="s">
        <v>1543</v>
      </c>
      <c r="C448" s="277">
        <v>334.1458677</v>
      </c>
      <c r="D448" s="282">
        <v>30</v>
      </c>
      <c r="E448" s="279">
        <f t="shared" si="6"/>
        <v>0.5</v>
      </c>
    </row>
    <row r="449" spans="1:5">
      <c r="A449" s="275" t="s">
        <v>492</v>
      </c>
      <c r="B449" s="276" t="s">
        <v>1544</v>
      </c>
      <c r="C449" s="277">
        <v>332.49607800000007</v>
      </c>
      <c r="D449" s="282">
        <v>30</v>
      </c>
      <c r="E449" s="279">
        <f t="shared" si="6"/>
        <v>0.5</v>
      </c>
    </row>
    <row r="450" spans="1:5">
      <c r="A450" s="275" t="s">
        <v>494</v>
      </c>
      <c r="B450" s="276" t="s">
        <v>1545</v>
      </c>
      <c r="C450" s="277">
        <v>318.4094121</v>
      </c>
      <c r="D450" s="282">
        <v>30</v>
      </c>
      <c r="E450" s="279">
        <f t="shared" si="6"/>
        <v>0.5</v>
      </c>
    </row>
    <row r="451" spans="1:5">
      <c r="A451" s="275" t="s">
        <v>496</v>
      </c>
      <c r="B451" s="276" t="s">
        <v>1546</v>
      </c>
      <c r="C451" s="277">
        <v>289.22082510000001</v>
      </c>
      <c r="D451" s="282">
        <v>30</v>
      </c>
      <c r="E451" s="279">
        <f t="shared" ref="E451:E514" si="7">D451/60</f>
        <v>0.5</v>
      </c>
    </row>
    <row r="452" spans="1:5">
      <c r="A452" s="275" t="s">
        <v>486</v>
      </c>
      <c r="B452" s="276" t="s">
        <v>1547</v>
      </c>
      <c r="C452" s="277">
        <v>35.533932</v>
      </c>
      <c r="D452" s="282">
        <v>15</v>
      </c>
      <c r="E452" s="279">
        <f t="shared" si="7"/>
        <v>0.25</v>
      </c>
    </row>
    <row r="453" spans="1:5">
      <c r="A453" s="275" t="s">
        <v>1078</v>
      </c>
      <c r="B453" s="276" t="s">
        <v>1548</v>
      </c>
      <c r="C453" s="277">
        <v>765.50242079999998</v>
      </c>
      <c r="D453" s="282">
        <v>30</v>
      </c>
      <c r="E453" s="279">
        <f t="shared" si="7"/>
        <v>0.5</v>
      </c>
    </row>
    <row r="454" spans="1:5">
      <c r="A454" s="275" t="s">
        <v>1080</v>
      </c>
      <c r="B454" s="276" t="s">
        <v>1549</v>
      </c>
      <c r="C454" s="277">
        <v>765.50242079999998</v>
      </c>
      <c r="D454" s="282">
        <v>30</v>
      </c>
      <c r="E454" s="279">
        <f t="shared" si="7"/>
        <v>0.5</v>
      </c>
    </row>
    <row r="455" spans="1:5">
      <c r="A455" s="275" t="s">
        <v>261</v>
      </c>
      <c r="B455" s="276" t="s">
        <v>1550</v>
      </c>
      <c r="C455" s="277">
        <v>76.144139999999993</v>
      </c>
      <c r="D455" s="280">
        <v>30</v>
      </c>
      <c r="E455" s="279">
        <f t="shared" si="7"/>
        <v>0.5</v>
      </c>
    </row>
    <row r="456" spans="1:5">
      <c r="A456" s="275" t="s">
        <v>263</v>
      </c>
      <c r="B456" s="276" t="s">
        <v>1551</v>
      </c>
      <c r="C456" s="277">
        <v>92.768943899999996</v>
      </c>
      <c r="D456" s="280">
        <v>15</v>
      </c>
      <c r="E456" s="279">
        <f t="shared" si="7"/>
        <v>0.25</v>
      </c>
    </row>
    <row r="457" spans="1:5">
      <c r="A457" s="275" t="s">
        <v>265</v>
      </c>
      <c r="B457" s="276" t="s">
        <v>1552</v>
      </c>
      <c r="C457" s="277">
        <v>326.15073300000006</v>
      </c>
      <c r="D457" s="280">
        <v>15</v>
      </c>
      <c r="E457" s="279">
        <f t="shared" si="7"/>
        <v>0.25</v>
      </c>
    </row>
    <row r="458" spans="1:5">
      <c r="A458" t="s">
        <v>1138</v>
      </c>
      <c r="B458" t="s">
        <v>1139</v>
      </c>
      <c r="D458" s="284">
        <v>30</v>
      </c>
      <c r="E458" s="285">
        <f t="shared" si="7"/>
        <v>0.5</v>
      </c>
    </row>
    <row r="459" spans="1:5">
      <c r="A459" t="s">
        <v>1140</v>
      </c>
      <c r="B459" t="s">
        <v>1141</v>
      </c>
      <c r="D459">
        <v>30</v>
      </c>
      <c r="E459" s="285">
        <f t="shared" si="7"/>
        <v>0.5</v>
      </c>
    </row>
    <row r="460" spans="1:5">
      <c r="A460" t="s">
        <v>1142</v>
      </c>
      <c r="B460" t="s">
        <v>1143</v>
      </c>
      <c r="D460">
        <v>30</v>
      </c>
      <c r="E460" s="285">
        <f t="shared" si="7"/>
        <v>0.5</v>
      </c>
    </row>
    <row r="461" spans="1:5">
      <c r="A461" t="s">
        <v>1144</v>
      </c>
      <c r="B461" t="s">
        <v>1553</v>
      </c>
      <c r="D461">
        <v>30</v>
      </c>
      <c r="E461" s="285">
        <f t="shared" si="7"/>
        <v>0.5</v>
      </c>
    </row>
    <row r="462" spans="1:5">
      <c r="A462" t="s">
        <v>1146</v>
      </c>
      <c r="B462" t="s">
        <v>1147</v>
      </c>
      <c r="D462">
        <v>30</v>
      </c>
      <c r="E462" s="285">
        <f t="shared" si="7"/>
        <v>0.5</v>
      </c>
    </row>
    <row r="463" spans="1:5">
      <c r="A463" t="s">
        <v>1148</v>
      </c>
      <c r="B463" t="s">
        <v>1554</v>
      </c>
      <c r="D463">
        <v>30</v>
      </c>
      <c r="E463" s="285">
        <f t="shared" si="7"/>
        <v>0.5</v>
      </c>
    </row>
    <row r="464" spans="1:5">
      <c r="A464" t="s">
        <v>1150</v>
      </c>
      <c r="B464" t="s">
        <v>1151</v>
      </c>
      <c r="D464">
        <v>30</v>
      </c>
      <c r="E464" s="285">
        <f t="shared" si="7"/>
        <v>0.5</v>
      </c>
    </row>
    <row r="465" spans="1:5">
      <c r="A465" t="s">
        <v>1152</v>
      </c>
      <c r="B465" t="s">
        <v>1555</v>
      </c>
      <c r="D465">
        <v>30</v>
      </c>
      <c r="E465" s="285">
        <f t="shared" si="7"/>
        <v>0.5</v>
      </c>
    </row>
    <row r="466" spans="1:5">
      <c r="A466" t="s">
        <v>1154</v>
      </c>
      <c r="B466" t="s">
        <v>1155</v>
      </c>
      <c r="D466">
        <v>30</v>
      </c>
      <c r="E466" s="285">
        <f t="shared" si="7"/>
        <v>0.5</v>
      </c>
    </row>
    <row r="467" spans="1:5">
      <c r="A467" t="s">
        <v>1156</v>
      </c>
      <c r="B467" t="s">
        <v>1556</v>
      </c>
      <c r="D467">
        <v>30</v>
      </c>
      <c r="E467" s="285">
        <f t="shared" si="7"/>
        <v>0.5</v>
      </c>
    </row>
    <row r="468" spans="1:5">
      <c r="A468" t="s">
        <v>1557</v>
      </c>
      <c r="B468" t="s">
        <v>1558</v>
      </c>
      <c r="D468">
        <v>30</v>
      </c>
      <c r="E468" s="285">
        <f t="shared" si="7"/>
        <v>0.5</v>
      </c>
    </row>
    <row r="469" spans="1:5">
      <c r="A469" t="s">
        <v>1559</v>
      </c>
      <c r="B469" t="s">
        <v>1560</v>
      </c>
      <c r="D469">
        <v>30</v>
      </c>
      <c r="E469" s="285">
        <f t="shared" si="7"/>
        <v>0.5</v>
      </c>
    </row>
    <row r="470" spans="1:5">
      <c r="A470" t="s">
        <v>1158</v>
      </c>
      <c r="B470" t="s">
        <v>1159</v>
      </c>
      <c r="D470">
        <v>30</v>
      </c>
      <c r="E470" s="285">
        <f t="shared" si="7"/>
        <v>0.5</v>
      </c>
    </row>
    <row r="471" spans="1:5">
      <c r="A471" t="s">
        <v>1160</v>
      </c>
      <c r="B471" t="s">
        <v>1161</v>
      </c>
      <c r="D471">
        <v>30</v>
      </c>
      <c r="E471" s="285">
        <f t="shared" si="7"/>
        <v>0.5</v>
      </c>
    </row>
    <row r="472" spans="1:5">
      <c r="A472" t="s">
        <v>1162</v>
      </c>
      <c r="B472" t="s">
        <v>1163</v>
      </c>
      <c r="D472">
        <v>30</v>
      </c>
      <c r="E472" s="285">
        <f t="shared" si="7"/>
        <v>0.5</v>
      </c>
    </row>
    <row r="473" spans="1:5">
      <c r="A473" t="s">
        <v>1164</v>
      </c>
      <c r="B473" t="s">
        <v>1165</v>
      </c>
      <c r="D473">
        <v>30</v>
      </c>
      <c r="E473" s="285">
        <f t="shared" si="7"/>
        <v>0.5</v>
      </c>
    </row>
    <row r="474" spans="1:5">
      <c r="A474" t="s">
        <v>1166</v>
      </c>
      <c r="B474" t="s">
        <v>1167</v>
      </c>
      <c r="D474">
        <v>30</v>
      </c>
      <c r="E474" s="285">
        <f t="shared" si="7"/>
        <v>0.5</v>
      </c>
    </row>
    <row r="475" spans="1:5">
      <c r="A475" t="s">
        <v>1168</v>
      </c>
      <c r="B475" t="s">
        <v>1169</v>
      </c>
      <c r="D475">
        <v>30</v>
      </c>
      <c r="E475" s="285">
        <f t="shared" si="7"/>
        <v>0.5</v>
      </c>
    </row>
    <row r="476" spans="1:5">
      <c r="A476" t="s">
        <v>1561</v>
      </c>
      <c r="B476" t="s">
        <v>1562</v>
      </c>
      <c r="D476">
        <v>30</v>
      </c>
      <c r="E476" s="285">
        <f t="shared" si="7"/>
        <v>0.5</v>
      </c>
    </row>
    <row r="477" spans="1:5">
      <c r="A477" t="s">
        <v>1563</v>
      </c>
      <c r="B477" t="s">
        <v>1564</v>
      </c>
      <c r="D477">
        <v>30</v>
      </c>
      <c r="E477" s="285">
        <f t="shared" si="7"/>
        <v>0.5</v>
      </c>
    </row>
    <row r="478" spans="1:5">
      <c r="A478" t="s">
        <v>1565</v>
      </c>
      <c r="B478" t="s">
        <v>1566</v>
      </c>
      <c r="D478">
        <v>30</v>
      </c>
      <c r="E478" s="285">
        <f t="shared" si="7"/>
        <v>0.5</v>
      </c>
    </row>
    <row r="479" spans="1:5">
      <c r="A479" t="s">
        <v>1567</v>
      </c>
      <c r="B479" t="s">
        <v>1568</v>
      </c>
      <c r="D479">
        <v>30</v>
      </c>
      <c r="E479" s="285">
        <f t="shared" si="7"/>
        <v>0.5</v>
      </c>
    </row>
    <row r="480" spans="1:5">
      <c r="A480" t="s">
        <v>1569</v>
      </c>
      <c r="B480" t="s">
        <v>1570</v>
      </c>
      <c r="D480">
        <v>30</v>
      </c>
      <c r="E480" s="285">
        <f t="shared" si="7"/>
        <v>0.5</v>
      </c>
    </row>
    <row r="481" spans="1:5">
      <c r="A481" t="s">
        <v>1571</v>
      </c>
      <c r="B481" t="s">
        <v>1572</v>
      </c>
      <c r="D481">
        <v>30</v>
      </c>
      <c r="E481" s="285">
        <f t="shared" si="7"/>
        <v>0.5</v>
      </c>
    </row>
    <row r="482" spans="1:5">
      <c r="A482" t="s">
        <v>1573</v>
      </c>
      <c r="B482" t="s">
        <v>1574</v>
      </c>
      <c r="D482">
        <v>30</v>
      </c>
      <c r="E482" s="285">
        <f t="shared" si="7"/>
        <v>0.5</v>
      </c>
    </row>
    <row r="483" spans="1:5">
      <c r="A483" t="s">
        <v>1575</v>
      </c>
      <c r="B483" t="s">
        <v>1576</v>
      </c>
      <c r="D483">
        <v>30</v>
      </c>
      <c r="E483" s="285">
        <f t="shared" si="7"/>
        <v>0.5</v>
      </c>
    </row>
    <row r="484" spans="1:5">
      <c r="A484" t="s">
        <v>1577</v>
      </c>
      <c r="B484" t="s">
        <v>1578</v>
      </c>
      <c r="D484">
        <v>30</v>
      </c>
      <c r="E484" s="285">
        <f t="shared" si="7"/>
        <v>0.5</v>
      </c>
    </row>
    <row r="485" spans="1:5">
      <c r="A485" t="s">
        <v>1579</v>
      </c>
      <c r="B485" t="s">
        <v>1580</v>
      </c>
      <c r="D485">
        <v>30</v>
      </c>
      <c r="E485" s="285">
        <f t="shared" si="7"/>
        <v>0.5</v>
      </c>
    </row>
    <row r="486" spans="1:5">
      <c r="A486" t="s">
        <v>1170</v>
      </c>
      <c r="B486" t="s">
        <v>1171</v>
      </c>
      <c r="D486">
        <v>30</v>
      </c>
      <c r="E486" s="285">
        <f t="shared" si="7"/>
        <v>0.5</v>
      </c>
    </row>
    <row r="487" spans="1:5">
      <c r="A487" t="s">
        <v>1172</v>
      </c>
      <c r="B487" t="s">
        <v>1173</v>
      </c>
      <c r="D487">
        <v>30</v>
      </c>
      <c r="E487" s="285">
        <f t="shared" si="7"/>
        <v>0.5</v>
      </c>
    </row>
    <row r="488" spans="1:5">
      <c r="A488" t="s">
        <v>1174</v>
      </c>
      <c r="B488" t="s">
        <v>1175</v>
      </c>
      <c r="D488">
        <v>30</v>
      </c>
      <c r="E488" s="285">
        <f t="shared" si="7"/>
        <v>0.5</v>
      </c>
    </row>
    <row r="489" spans="1:5">
      <c r="A489" t="s">
        <v>1177</v>
      </c>
      <c r="B489" t="s">
        <v>1178</v>
      </c>
      <c r="D489">
        <v>30</v>
      </c>
      <c r="E489" s="285">
        <f t="shared" si="7"/>
        <v>0.5</v>
      </c>
    </row>
    <row r="490" spans="1:5">
      <c r="A490" t="s">
        <v>1581</v>
      </c>
      <c r="B490" t="s">
        <v>1582</v>
      </c>
      <c r="D490">
        <v>30</v>
      </c>
      <c r="E490" s="285">
        <f t="shared" si="7"/>
        <v>0.5</v>
      </c>
    </row>
    <row r="491" spans="1:5">
      <c r="A491" t="s">
        <v>1583</v>
      </c>
      <c r="B491" t="s">
        <v>1186</v>
      </c>
      <c r="D491">
        <v>30</v>
      </c>
      <c r="E491" s="285">
        <f t="shared" si="7"/>
        <v>0.5</v>
      </c>
    </row>
    <row r="492" spans="1:5">
      <c r="A492" t="s">
        <v>1584</v>
      </c>
      <c r="B492" t="s">
        <v>1188</v>
      </c>
      <c r="D492">
        <v>30</v>
      </c>
      <c r="E492" s="285">
        <f t="shared" si="7"/>
        <v>0.5</v>
      </c>
    </row>
    <row r="493" spans="1:5">
      <c r="A493" t="s">
        <v>1585</v>
      </c>
      <c r="B493" t="s">
        <v>1190</v>
      </c>
      <c r="D493">
        <v>30</v>
      </c>
      <c r="E493" s="285">
        <f t="shared" si="7"/>
        <v>0.5</v>
      </c>
    </row>
    <row r="494" spans="1:5">
      <c r="A494" t="s">
        <v>1586</v>
      </c>
      <c r="B494" t="s">
        <v>1192</v>
      </c>
      <c r="D494">
        <v>30</v>
      </c>
      <c r="E494" s="285">
        <f t="shared" si="7"/>
        <v>0.5</v>
      </c>
    </row>
    <row r="495" spans="1:5">
      <c r="A495" t="s">
        <v>1587</v>
      </c>
      <c r="B495" t="s">
        <v>1588</v>
      </c>
      <c r="D495">
        <v>30</v>
      </c>
      <c r="E495" s="285">
        <f t="shared" si="7"/>
        <v>0.5</v>
      </c>
    </row>
    <row r="496" spans="1:5">
      <c r="A496" t="s">
        <v>1179</v>
      </c>
      <c r="B496" t="s">
        <v>1180</v>
      </c>
      <c r="D496">
        <v>30</v>
      </c>
      <c r="E496" s="285">
        <f t="shared" si="7"/>
        <v>0.5</v>
      </c>
    </row>
    <row r="497" spans="1:5">
      <c r="A497" t="s">
        <v>1181</v>
      </c>
      <c r="B497" t="s">
        <v>1182</v>
      </c>
      <c r="D497">
        <v>30</v>
      </c>
      <c r="E497" s="285">
        <f t="shared" si="7"/>
        <v>0.5</v>
      </c>
    </row>
    <row r="498" spans="1:5">
      <c r="A498" t="s">
        <v>1183</v>
      </c>
      <c r="B498" t="s">
        <v>1184</v>
      </c>
      <c r="D498">
        <v>30</v>
      </c>
      <c r="E498" s="285">
        <f t="shared" si="7"/>
        <v>0.5</v>
      </c>
    </row>
    <row r="499" spans="1:5">
      <c r="A499" t="s">
        <v>1185</v>
      </c>
      <c r="B499" t="s">
        <v>1186</v>
      </c>
      <c r="D499">
        <v>30</v>
      </c>
      <c r="E499" s="285">
        <f t="shared" si="7"/>
        <v>0.5</v>
      </c>
    </row>
    <row r="500" spans="1:5">
      <c r="A500" t="s">
        <v>1187</v>
      </c>
      <c r="B500" t="s">
        <v>1188</v>
      </c>
      <c r="D500">
        <v>30</v>
      </c>
      <c r="E500" s="285">
        <f t="shared" si="7"/>
        <v>0.5</v>
      </c>
    </row>
    <row r="501" spans="1:5">
      <c r="A501" t="s">
        <v>1189</v>
      </c>
      <c r="B501" t="s">
        <v>1589</v>
      </c>
      <c r="D501">
        <v>30</v>
      </c>
      <c r="E501" s="285">
        <f t="shared" si="7"/>
        <v>0.5</v>
      </c>
    </row>
    <row r="502" spans="1:5">
      <c r="A502" t="s">
        <v>1191</v>
      </c>
      <c r="B502" t="s">
        <v>1192</v>
      </c>
      <c r="D502">
        <v>30</v>
      </c>
      <c r="E502" s="285">
        <f t="shared" si="7"/>
        <v>0.5</v>
      </c>
    </row>
    <row r="503" spans="1:5">
      <c r="A503" t="s">
        <v>1193</v>
      </c>
      <c r="B503" t="s">
        <v>1194</v>
      </c>
      <c r="D503">
        <v>30</v>
      </c>
      <c r="E503" s="285">
        <f t="shared" si="7"/>
        <v>0.5</v>
      </c>
    </row>
    <row r="504" spans="1:5">
      <c r="A504" t="s">
        <v>1195</v>
      </c>
      <c r="B504" t="s">
        <v>1196</v>
      </c>
      <c r="D504">
        <v>30</v>
      </c>
      <c r="E504" s="285">
        <f t="shared" si="7"/>
        <v>0.5</v>
      </c>
    </row>
    <row r="505" spans="1:5">
      <c r="A505" t="s">
        <v>1197</v>
      </c>
      <c r="B505" t="s">
        <v>1198</v>
      </c>
      <c r="D505">
        <v>30</v>
      </c>
      <c r="E505" s="285">
        <f t="shared" si="7"/>
        <v>0.5</v>
      </c>
    </row>
    <row r="506" spans="1:5">
      <c r="A506" t="s">
        <v>1199</v>
      </c>
      <c r="B506" t="s">
        <v>1200</v>
      </c>
      <c r="D506">
        <v>30</v>
      </c>
      <c r="E506" s="285">
        <f t="shared" si="7"/>
        <v>0.5</v>
      </c>
    </row>
    <row r="507" spans="1:5">
      <c r="A507" t="s">
        <v>1201</v>
      </c>
      <c r="B507" t="s">
        <v>1202</v>
      </c>
      <c r="D507">
        <v>30</v>
      </c>
      <c r="E507" s="285">
        <f t="shared" si="7"/>
        <v>0.5</v>
      </c>
    </row>
    <row r="508" spans="1:5">
      <c r="A508" t="s">
        <v>1203</v>
      </c>
      <c r="B508" t="s">
        <v>1204</v>
      </c>
      <c r="D508">
        <v>30</v>
      </c>
      <c r="E508" s="285">
        <f t="shared" si="7"/>
        <v>0.5</v>
      </c>
    </row>
    <row r="509" spans="1:5">
      <c r="A509" t="s">
        <v>1205</v>
      </c>
      <c r="B509" t="s">
        <v>1558</v>
      </c>
      <c r="D509">
        <v>30</v>
      </c>
      <c r="E509" s="285">
        <f t="shared" si="7"/>
        <v>0.5</v>
      </c>
    </row>
    <row r="510" spans="1:5">
      <c r="A510" t="s">
        <v>1207</v>
      </c>
      <c r="B510" t="s">
        <v>1590</v>
      </c>
      <c r="D510">
        <v>30</v>
      </c>
      <c r="E510" s="285">
        <f t="shared" si="7"/>
        <v>0.5</v>
      </c>
    </row>
    <row r="511" spans="1:5">
      <c r="A511" t="s">
        <v>1209</v>
      </c>
      <c r="B511" t="s">
        <v>1560</v>
      </c>
      <c r="D511">
        <v>30</v>
      </c>
      <c r="E511" s="285">
        <f t="shared" si="7"/>
        <v>0.5</v>
      </c>
    </row>
    <row r="512" spans="1:5">
      <c r="A512" t="s">
        <v>1211</v>
      </c>
      <c r="B512" t="s">
        <v>1591</v>
      </c>
      <c r="D512">
        <v>30</v>
      </c>
      <c r="E512" s="285">
        <f t="shared" si="7"/>
        <v>0.5</v>
      </c>
    </row>
    <row r="513" spans="1:5">
      <c r="A513" t="s">
        <v>1213</v>
      </c>
      <c r="B513" t="s">
        <v>1592</v>
      </c>
      <c r="D513">
        <v>30</v>
      </c>
      <c r="E513" s="285">
        <f t="shared" si="7"/>
        <v>0.5</v>
      </c>
    </row>
    <row r="514" spans="1:5">
      <c r="A514" t="s">
        <v>1215</v>
      </c>
      <c r="B514" t="s">
        <v>1590</v>
      </c>
      <c r="D514">
        <v>30</v>
      </c>
      <c r="E514" s="285">
        <f t="shared" si="7"/>
        <v>0.5</v>
      </c>
    </row>
    <row r="515" spans="1:5">
      <c r="A515" t="s">
        <v>1217</v>
      </c>
      <c r="B515" t="s">
        <v>1593</v>
      </c>
      <c r="D515">
        <v>30</v>
      </c>
      <c r="E515" s="285">
        <f t="shared" ref="E515:E556" si="8">D515/60</f>
        <v>0.5</v>
      </c>
    </row>
    <row r="516" spans="1:5">
      <c r="A516" t="s">
        <v>1219</v>
      </c>
      <c r="B516" t="s">
        <v>1594</v>
      </c>
      <c r="D516">
        <v>30</v>
      </c>
      <c r="E516" s="285">
        <f t="shared" si="8"/>
        <v>0.5</v>
      </c>
    </row>
    <row r="517" spans="1:5">
      <c r="A517" t="s">
        <v>1595</v>
      </c>
      <c r="B517" t="s">
        <v>1596</v>
      </c>
      <c r="D517">
        <v>30</v>
      </c>
      <c r="E517" s="285">
        <f t="shared" si="8"/>
        <v>0.5</v>
      </c>
    </row>
    <row r="518" spans="1:5">
      <c r="A518" t="s">
        <v>1597</v>
      </c>
      <c r="B518" t="s">
        <v>1598</v>
      </c>
      <c r="D518">
        <v>30</v>
      </c>
      <c r="E518" s="285">
        <f t="shared" si="8"/>
        <v>0.5</v>
      </c>
    </row>
    <row r="519" spans="1:5">
      <c r="A519" t="s">
        <v>1599</v>
      </c>
      <c r="B519" t="s">
        <v>1600</v>
      </c>
      <c r="D519">
        <v>30</v>
      </c>
      <c r="E519" s="285">
        <f t="shared" si="8"/>
        <v>0.5</v>
      </c>
    </row>
    <row r="520" spans="1:5">
      <c r="A520" t="s">
        <v>1601</v>
      </c>
      <c r="B520" t="s">
        <v>1602</v>
      </c>
      <c r="D520">
        <v>30</v>
      </c>
      <c r="E520" s="285">
        <f t="shared" si="8"/>
        <v>0.5</v>
      </c>
    </row>
    <row r="521" spans="1:5">
      <c r="A521" t="s">
        <v>1603</v>
      </c>
      <c r="B521" t="s">
        <v>1604</v>
      </c>
      <c r="D521">
        <v>30</v>
      </c>
      <c r="E521" s="285">
        <f t="shared" si="8"/>
        <v>0.5</v>
      </c>
    </row>
    <row r="522" spans="1:5">
      <c r="A522" t="s">
        <v>1605</v>
      </c>
      <c r="B522" t="s">
        <v>1606</v>
      </c>
      <c r="D522">
        <v>30</v>
      </c>
      <c r="E522" s="285">
        <f t="shared" si="8"/>
        <v>0.5</v>
      </c>
    </row>
    <row r="523" spans="1:5">
      <c r="A523" t="s">
        <v>1607</v>
      </c>
      <c r="B523" t="s">
        <v>1608</v>
      </c>
      <c r="D523">
        <v>30</v>
      </c>
      <c r="E523" s="285">
        <f t="shared" si="8"/>
        <v>0.5</v>
      </c>
    </row>
    <row r="524" spans="1:5">
      <c r="A524" t="s">
        <v>1609</v>
      </c>
      <c r="B524" t="s">
        <v>1610</v>
      </c>
      <c r="D524">
        <v>30</v>
      </c>
      <c r="E524" s="285">
        <f t="shared" si="8"/>
        <v>0.5</v>
      </c>
    </row>
    <row r="525" spans="1:5">
      <c r="A525" t="s">
        <v>1611</v>
      </c>
      <c r="B525" t="s">
        <v>1612</v>
      </c>
      <c r="D525">
        <v>30</v>
      </c>
      <c r="E525" s="285">
        <f t="shared" si="8"/>
        <v>0.5</v>
      </c>
    </row>
    <row r="526" spans="1:5">
      <c r="A526" t="s">
        <v>1613</v>
      </c>
      <c r="B526" t="s">
        <v>1614</v>
      </c>
      <c r="D526">
        <v>30</v>
      </c>
      <c r="E526" s="285">
        <f t="shared" si="8"/>
        <v>0.5</v>
      </c>
    </row>
    <row r="527" spans="1:5">
      <c r="A527" t="s">
        <v>1615</v>
      </c>
      <c r="B527" t="s">
        <v>1616</v>
      </c>
      <c r="D527">
        <v>30</v>
      </c>
      <c r="E527" s="285">
        <f t="shared" si="8"/>
        <v>0.5</v>
      </c>
    </row>
    <row r="528" spans="1:5">
      <c r="A528" t="s">
        <v>1617</v>
      </c>
      <c r="B528" t="s">
        <v>1618</v>
      </c>
      <c r="D528">
        <v>30</v>
      </c>
      <c r="E528" s="285">
        <f t="shared" si="8"/>
        <v>0.5</v>
      </c>
    </row>
    <row r="529" spans="1:5">
      <c r="A529" t="s">
        <v>1619</v>
      </c>
      <c r="B529" t="s">
        <v>1620</v>
      </c>
      <c r="D529">
        <v>30</v>
      </c>
      <c r="E529" s="285">
        <f t="shared" si="8"/>
        <v>0.5</v>
      </c>
    </row>
    <row r="530" spans="1:5">
      <c r="A530" t="s">
        <v>1621</v>
      </c>
      <c r="B530" t="s">
        <v>1622</v>
      </c>
      <c r="D530">
        <v>30</v>
      </c>
      <c r="E530" s="285">
        <f t="shared" si="8"/>
        <v>0.5</v>
      </c>
    </row>
    <row r="531" spans="1:5">
      <c r="A531" t="s">
        <v>1623</v>
      </c>
      <c r="B531" t="s">
        <v>1624</v>
      </c>
      <c r="D531">
        <v>30</v>
      </c>
      <c r="E531" s="285">
        <f t="shared" si="8"/>
        <v>0.5</v>
      </c>
    </row>
    <row r="532" spans="1:5">
      <c r="A532" t="s">
        <v>1625</v>
      </c>
      <c r="B532" t="s">
        <v>1626</v>
      </c>
      <c r="D532">
        <v>30</v>
      </c>
      <c r="E532" s="285">
        <f t="shared" si="8"/>
        <v>0.5</v>
      </c>
    </row>
    <row r="533" spans="1:5">
      <c r="A533" t="s">
        <v>1627</v>
      </c>
      <c r="B533" t="s">
        <v>1628</v>
      </c>
      <c r="D533">
        <v>30</v>
      </c>
      <c r="E533" s="285">
        <f t="shared" si="8"/>
        <v>0.5</v>
      </c>
    </row>
    <row r="534" spans="1:5">
      <c r="A534" t="s">
        <v>1629</v>
      </c>
      <c r="B534" t="s">
        <v>1630</v>
      </c>
      <c r="D534">
        <v>30</v>
      </c>
      <c r="E534" s="285">
        <f t="shared" si="8"/>
        <v>0.5</v>
      </c>
    </row>
    <row r="535" spans="1:5">
      <c r="A535" t="s">
        <v>1631</v>
      </c>
      <c r="B535" t="s">
        <v>1632</v>
      </c>
      <c r="D535">
        <v>30</v>
      </c>
      <c r="E535" s="285">
        <f t="shared" si="8"/>
        <v>0.5</v>
      </c>
    </row>
    <row r="536" spans="1:5">
      <c r="A536" t="s">
        <v>1633</v>
      </c>
      <c r="B536" t="s">
        <v>1634</v>
      </c>
      <c r="D536">
        <v>30</v>
      </c>
      <c r="E536" s="285">
        <f t="shared" si="8"/>
        <v>0.5</v>
      </c>
    </row>
    <row r="537" spans="1:5">
      <c r="A537" t="s">
        <v>1635</v>
      </c>
      <c r="B537" t="s">
        <v>1636</v>
      </c>
      <c r="D537">
        <v>30</v>
      </c>
      <c r="E537" s="285">
        <f t="shared" si="8"/>
        <v>0.5</v>
      </c>
    </row>
    <row r="538" spans="1:5">
      <c r="A538" t="s">
        <v>1637</v>
      </c>
      <c r="B538" t="s">
        <v>1638</v>
      </c>
      <c r="D538">
        <v>30</v>
      </c>
      <c r="E538" s="285">
        <f t="shared" si="8"/>
        <v>0.5</v>
      </c>
    </row>
    <row r="539" spans="1:5">
      <c r="A539" t="s">
        <v>1639</v>
      </c>
      <c r="B539" t="s">
        <v>1640</v>
      </c>
      <c r="D539">
        <v>30</v>
      </c>
      <c r="E539" s="285">
        <f t="shared" si="8"/>
        <v>0.5</v>
      </c>
    </row>
    <row r="540" spans="1:5">
      <c r="A540" t="s">
        <v>1641</v>
      </c>
      <c r="B540" t="s">
        <v>1642</v>
      </c>
      <c r="D540">
        <v>30</v>
      </c>
      <c r="E540" s="285">
        <f t="shared" si="8"/>
        <v>0.5</v>
      </c>
    </row>
    <row r="541" spans="1:5">
      <c r="A541" t="s">
        <v>1643</v>
      </c>
      <c r="B541" t="s">
        <v>1644</v>
      </c>
      <c r="D541">
        <v>30</v>
      </c>
      <c r="E541" s="285">
        <f t="shared" si="8"/>
        <v>0.5</v>
      </c>
    </row>
    <row r="542" spans="1:5">
      <c r="A542" t="s">
        <v>1645</v>
      </c>
      <c r="B542" t="s">
        <v>1646</v>
      </c>
      <c r="D542">
        <v>30</v>
      </c>
      <c r="E542" s="285">
        <f t="shared" si="8"/>
        <v>0.5</v>
      </c>
    </row>
    <row r="543" spans="1:5">
      <c r="A543" t="s">
        <v>1647</v>
      </c>
      <c r="B543" t="s">
        <v>1648</v>
      </c>
      <c r="D543">
        <v>30</v>
      </c>
      <c r="E543" s="285">
        <f t="shared" si="8"/>
        <v>0.5</v>
      </c>
    </row>
    <row r="544" spans="1:5">
      <c r="A544" t="s">
        <v>1649</v>
      </c>
      <c r="B544" t="s">
        <v>1650</v>
      </c>
      <c r="D544">
        <v>30</v>
      </c>
      <c r="E544" s="285">
        <f t="shared" si="8"/>
        <v>0.5</v>
      </c>
    </row>
    <row r="545" spans="1:5">
      <c r="A545" t="s">
        <v>1651</v>
      </c>
      <c r="B545" t="s">
        <v>1652</v>
      </c>
      <c r="D545">
        <v>30</v>
      </c>
      <c r="E545" s="285">
        <f t="shared" si="8"/>
        <v>0.5</v>
      </c>
    </row>
    <row r="546" spans="1:5">
      <c r="A546" t="s">
        <v>1653</v>
      </c>
      <c r="B546" t="s">
        <v>1654</v>
      </c>
      <c r="D546">
        <v>30</v>
      </c>
      <c r="E546" s="285">
        <f t="shared" si="8"/>
        <v>0.5</v>
      </c>
    </row>
    <row r="547" spans="1:5">
      <c r="A547" t="s">
        <v>1655</v>
      </c>
      <c r="B547" t="s">
        <v>1656</v>
      </c>
      <c r="D547">
        <v>30</v>
      </c>
      <c r="E547" s="285">
        <f t="shared" si="8"/>
        <v>0.5</v>
      </c>
    </row>
    <row r="548" spans="1:5">
      <c r="A548" t="s">
        <v>1657</v>
      </c>
      <c r="B548" t="s">
        <v>1658</v>
      </c>
      <c r="D548">
        <v>30</v>
      </c>
      <c r="E548" s="285">
        <f t="shared" si="8"/>
        <v>0.5</v>
      </c>
    </row>
    <row r="549" spans="1:5">
      <c r="A549" t="s">
        <v>1659</v>
      </c>
      <c r="B549" t="s">
        <v>1660</v>
      </c>
      <c r="D549">
        <v>30</v>
      </c>
      <c r="E549" s="285">
        <f t="shared" si="8"/>
        <v>0.5</v>
      </c>
    </row>
    <row r="550" spans="1:5">
      <c r="A550" t="s">
        <v>1661</v>
      </c>
      <c r="B550" t="s">
        <v>1662</v>
      </c>
      <c r="D550">
        <v>30</v>
      </c>
      <c r="E550" s="285">
        <f t="shared" si="8"/>
        <v>0.5</v>
      </c>
    </row>
    <row r="551" spans="1:5">
      <c r="A551" t="s">
        <v>1663</v>
      </c>
      <c r="B551" t="s">
        <v>1664</v>
      </c>
      <c r="D551">
        <v>30</v>
      </c>
      <c r="E551" s="285">
        <f t="shared" si="8"/>
        <v>0.5</v>
      </c>
    </row>
    <row r="552" spans="1:5">
      <c r="A552" t="s">
        <v>1665</v>
      </c>
      <c r="B552" t="s">
        <v>1666</v>
      </c>
      <c r="D552">
        <v>30</v>
      </c>
      <c r="E552" s="285">
        <f t="shared" si="8"/>
        <v>0.5</v>
      </c>
    </row>
    <row r="553" spans="1:5">
      <c r="A553" t="s">
        <v>1667</v>
      </c>
      <c r="B553" t="s">
        <v>1668</v>
      </c>
      <c r="D553">
        <v>30</v>
      </c>
      <c r="E553" s="285">
        <f t="shared" si="8"/>
        <v>0.5</v>
      </c>
    </row>
    <row r="554" spans="1:5">
      <c r="A554" t="s">
        <v>1669</v>
      </c>
      <c r="B554" t="s">
        <v>1670</v>
      </c>
      <c r="D554">
        <v>30</v>
      </c>
      <c r="E554" s="285">
        <f t="shared" si="8"/>
        <v>0.5</v>
      </c>
    </row>
    <row r="555" spans="1:5">
      <c r="A555" t="s">
        <v>1671</v>
      </c>
      <c r="B555" t="s">
        <v>1672</v>
      </c>
      <c r="D555">
        <v>30</v>
      </c>
      <c r="E555" s="285">
        <f t="shared" si="8"/>
        <v>0.5</v>
      </c>
    </row>
    <row r="556" spans="1:5">
      <c r="A556" t="s">
        <v>1673</v>
      </c>
      <c r="B556" t="s">
        <v>1674</v>
      </c>
      <c r="D556">
        <v>30</v>
      </c>
      <c r="E556" s="285">
        <f t="shared" si="8"/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Y110"/>
  <sheetViews>
    <sheetView showGridLines="0" workbookViewId="0">
      <pane ySplit="8" topLeftCell="A9" activePane="bottomLeft" state="frozen"/>
      <selection activeCell="E107" sqref="E107"/>
      <selection pane="bottomLeft" activeCell="F14" sqref="F14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7" width="8.6640625" style="49" customWidth="1"/>
    <col min="8" max="8" width="8.6640625" style="169" customWidth="1"/>
    <col min="9" max="9" width="8.6640625" style="49" customWidth="1"/>
    <col min="10" max="13" width="10.6640625" style="49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22" width="14" style="49" customWidth="1"/>
    <col min="23" max="23" width="16" style="49" customWidth="1"/>
    <col min="24" max="25" width="16.109375" style="49" customWidth="1"/>
    <col min="26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48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48"/>
    </row>
    <row r="3" spans="1:22" ht="14.4" customHeight="1">
      <c r="A3" s="110" t="str" cm="1">
        <f t="array" aca="1" ref="A3" ca="1">CONCATENATE("SCOPE: ",MID(CELL("filename",A1),FIND("]",CELL("filename",A1))+1,255))</f>
        <v>SCOPE: Wall Protection</v>
      </c>
      <c r="B3" s="176"/>
      <c r="C3" s="110"/>
      <c r="D3" s="176"/>
      <c r="E3" s="110"/>
      <c r="F3" s="12"/>
      <c r="G3" s="48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48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48"/>
      <c r="M5" s="50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7"/>
      <c r="H6" s="170"/>
      <c r="I6" s="296"/>
      <c r="J6" s="310" t="s">
        <v>20</v>
      </c>
      <c r="K6" s="8"/>
      <c r="L6" s="8"/>
      <c r="M6" s="9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7" t="s">
        <v>48</v>
      </c>
      <c r="I7" s="306" t="s">
        <v>49</v>
      </c>
      <c r="J7" s="311" t="s">
        <v>5</v>
      </c>
      <c r="K7" s="10" t="s">
        <v>6</v>
      </c>
      <c r="L7" s="10" t="s">
        <v>10</v>
      </c>
      <c r="M7" s="11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5"/>
      <c r="I8" s="35"/>
      <c r="J8" s="312"/>
      <c r="K8" s="17"/>
      <c r="L8" s="16"/>
      <c r="M8" s="18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2.75" customHeight="1" thickTop="1">
      <c r="A9" s="226">
        <v>1</v>
      </c>
      <c r="B9" s="178"/>
      <c r="C9" s="112"/>
      <c r="D9" s="261"/>
      <c r="E9" s="112"/>
      <c r="F9" s="262"/>
      <c r="G9" s="171"/>
      <c r="H9" s="171"/>
      <c r="I9" s="308">
        <f>'summary sheet'!$E$2</f>
        <v>120</v>
      </c>
      <c r="J9" s="315">
        <f>SUM(H9*I9)*G9</f>
        <v>0</v>
      </c>
      <c r="K9" s="118">
        <v>0</v>
      </c>
      <c r="L9" s="118">
        <v>0</v>
      </c>
      <c r="M9" s="119">
        <v>0</v>
      </c>
      <c r="N9" s="54">
        <f>J9</f>
        <v>0</v>
      </c>
      <c r="O9" s="55">
        <f t="shared" ref="O9:O38" si="0">SUM(G9)*K9</f>
        <v>0</v>
      </c>
      <c r="P9" s="55">
        <f t="shared" ref="P9:P38" si="1">SUM(L9)</f>
        <v>0</v>
      </c>
      <c r="Q9" s="56">
        <f>M9</f>
        <v>0</v>
      </c>
      <c r="R9" s="77">
        <f t="shared" ref="R9:R38" si="2">SUM(N9:Q9)</f>
        <v>0</v>
      </c>
      <c r="S9" s="247" t="e">
        <f>(R9/($R$61-$R$60))*SUM($R$64:$R$69,$R$71:$R$72,$R$74,$R$76,$R$78,$R$60)+R9</f>
        <v>#DIV/0!</v>
      </c>
      <c r="T9" s="206" t="e">
        <f t="shared" ref="T9:T38" si="3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9">
        <f>'summary sheet'!$E$2</f>
        <v>120</v>
      </c>
      <c r="J10" s="315">
        <f>SUM(H10*I10)*G10</f>
        <v>0</v>
      </c>
      <c r="K10" s="118">
        <v>0</v>
      </c>
      <c r="L10" s="118">
        <v>0</v>
      </c>
      <c r="M10" s="119">
        <v>0</v>
      </c>
      <c r="N10" s="54">
        <f t="shared" ref="N10:N18" si="4">J10</f>
        <v>0</v>
      </c>
      <c r="O10" s="55">
        <f t="shared" ref="O10:O18" si="5">SUM(G10)*K10</f>
        <v>0</v>
      </c>
      <c r="P10" s="55">
        <f t="shared" ref="P10:P18" si="6">SUM(L10)</f>
        <v>0</v>
      </c>
      <c r="Q10" s="56">
        <f t="shared" ref="Q10:Q18" si="7">M10</f>
        <v>0</v>
      </c>
      <c r="R10" s="77">
        <f t="shared" ref="R10:R18" si="8">SUM(N10:Q10)</f>
        <v>0</v>
      </c>
      <c r="S10" s="247" t="e">
        <f t="shared" ref="S10:S58" si="9">(R10/($R$61-$R$60))*SUM($R$64:$R$69,$R$71:$R$72,$R$74,$R$76,$R$78,$R$60)+R10</f>
        <v>#DIV/0!</v>
      </c>
      <c r="T10" s="206" t="e">
        <f t="shared" ref="T10:T18" si="10">S10/G10</f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9">
        <f>'summary sheet'!$E$2</f>
        <v>120</v>
      </c>
      <c r="J11" s="315">
        <f t="shared" ref="J11:J18" si="11">SUM(H11*I11)*G11</f>
        <v>0</v>
      </c>
      <c r="K11" s="118">
        <v>0</v>
      </c>
      <c r="L11" s="118">
        <v>0</v>
      </c>
      <c r="M11" s="119">
        <v>0</v>
      </c>
      <c r="N11" s="54">
        <f t="shared" si="4"/>
        <v>0</v>
      </c>
      <c r="O11" s="55">
        <f t="shared" si="5"/>
        <v>0</v>
      </c>
      <c r="P11" s="55">
        <f t="shared" si="6"/>
        <v>0</v>
      </c>
      <c r="Q11" s="56">
        <f t="shared" si="7"/>
        <v>0</v>
      </c>
      <c r="R11" s="77">
        <f t="shared" si="8"/>
        <v>0</v>
      </c>
      <c r="S11" s="247" t="e">
        <f t="shared" si="9"/>
        <v>#DIV/0!</v>
      </c>
      <c r="T11" s="206" t="e">
        <f t="shared" si="10"/>
        <v>#DIV/0!</v>
      </c>
      <c r="U11" s="89"/>
    </row>
    <row r="12" spans="1:22" ht="13.2" customHeight="1">
      <c r="A12" s="226">
        <v>4</v>
      </c>
      <c r="B12" s="178"/>
      <c r="C12" s="112"/>
      <c r="D12" s="178"/>
      <c r="E12" s="112"/>
      <c r="F12" s="112"/>
      <c r="G12" s="171"/>
      <c r="H12" s="225"/>
      <c r="I12" s="309">
        <f>'summary sheet'!$E$2</f>
        <v>120</v>
      </c>
      <c r="J12" s="315">
        <f t="shared" si="11"/>
        <v>0</v>
      </c>
      <c r="K12" s="118">
        <v>0</v>
      </c>
      <c r="L12" s="118">
        <v>0</v>
      </c>
      <c r="M12" s="119">
        <v>0</v>
      </c>
      <c r="N12" s="54">
        <f t="shared" si="4"/>
        <v>0</v>
      </c>
      <c r="O12" s="55">
        <f t="shared" si="5"/>
        <v>0</v>
      </c>
      <c r="P12" s="55">
        <f t="shared" si="6"/>
        <v>0</v>
      </c>
      <c r="Q12" s="56">
        <f t="shared" si="7"/>
        <v>0</v>
      </c>
      <c r="R12" s="77">
        <f t="shared" si="8"/>
        <v>0</v>
      </c>
      <c r="S12" s="247" t="e">
        <f t="shared" si="9"/>
        <v>#DIV/0!</v>
      </c>
      <c r="T12" s="206" t="e">
        <f t="shared" si="10"/>
        <v>#DIV/0!</v>
      </c>
      <c r="U12" s="89"/>
    </row>
    <row r="13" spans="1:22" ht="13.2" customHeight="1">
      <c r="A13" s="226">
        <v>5</v>
      </c>
      <c r="B13" s="178"/>
      <c r="C13" s="112"/>
      <c r="D13" s="178"/>
      <c r="E13" s="112"/>
      <c r="F13" s="112"/>
      <c r="G13" s="171"/>
      <c r="H13" s="225"/>
      <c r="I13" s="309">
        <f>'summary sheet'!$E$2</f>
        <v>120</v>
      </c>
      <c r="J13" s="315">
        <f t="shared" si="11"/>
        <v>0</v>
      </c>
      <c r="K13" s="118">
        <v>0</v>
      </c>
      <c r="L13" s="118">
        <v>0</v>
      </c>
      <c r="M13" s="119">
        <v>0</v>
      </c>
      <c r="N13" s="54">
        <f t="shared" si="4"/>
        <v>0</v>
      </c>
      <c r="O13" s="55">
        <f t="shared" si="5"/>
        <v>0</v>
      </c>
      <c r="P13" s="55">
        <f t="shared" si="6"/>
        <v>0</v>
      </c>
      <c r="Q13" s="56">
        <f t="shared" si="7"/>
        <v>0</v>
      </c>
      <c r="R13" s="77">
        <f t="shared" si="8"/>
        <v>0</v>
      </c>
      <c r="S13" s="247" t="e">
        <f t="shared" si="9"/>
        <v>#DIV/0!</v>
      </c>
      <c r="T13" s="206" t="e">
        <f t="shared" si="10"/>
        <v>#DIV/0!</v>
      </c>
      <c r="U13" s="89"/>
    </row>
    <row r="14" spans="1:22" ht="13.2" customHeight="1">
      <c r="A14" s="226">
        <v>6</v>
      </c>
      <c r="B14" s="178"/>
      <c r="C14" s="112"/>
      <c r="D14" s="178"/>
      <c r="E14" s="112"/>
      <c r="F14" s="112"/>
      <c r="G14" s="171"/>
      <c r="H14" s="225"/>
      <c r="I14" s="309">
        <f>'summary sheet'!$E$2</f>
        <v>120</v>
      </c>
      <c r="J14" s="315">
        <f t="shared" si="11"/>
        <v>0</v>
      </c>
      <c r="K14" s="118">
        <v>0</v>
      </c>
      <c r="L14" s="118">
        <v>0</v>
      </c>
      <c r="M14" s="119">
        <v>0</v>
      </c>
      <c r="N14" s="54">
        <f t="shared" si="4"/>
        <v>0</v>
      </c>
      <c r="O14" s="55">
        <f t="shared" si="5"/>
        <v>0</v>
      </c>
      <c r="P14" s="55">
        <f t="shared" si="6"/>
        <v>0</v>
      </c>
      <c r="Q14" s="56">
        <f t="shared" si="7"/>
        <v>0</v>
      </c>
      <c r="R14" s="77">
        <f t="shared" si="8"/>
        <v>0</v>
      </c>
      <c r="S14" s="247" t="e">
        <f t="shared" si="9"/>
        <v>#DIV/0!</v>
      </c>
      <c r="T14" s="206" t="e">
        <f t="shared" si="10"/>
        <v>#DIV/0!</v>
      </c>
      <c r="U14" s="89"/>
    </row>
    <row r="15" spans="1:22" ht="13.2" customHeight="1">
      <c r="A15" s="226">
        <v>7</v>
      </c>
      <c r="B15" s="178"/>
      <c r="C15" s="112"/>
      <c r="D15" s="178"/>
      <c r="E15" s="112"/>
      <c r="F15" s="112"/>
      <c r="G15" s="171"/>
      <c r="H15" s="225"/>
      <c r="I15" s="309">
        <f>'summary sheet'!$E$2</f>
        <v>120</v>
      </c>
      <c r="J15" s="315">
        <f t="shared" si="11"/>
        <v>0</v>
      </c>
      <c r="K15" s="118">
        <v>0</v>
      </c>
      <c r="L15" s="118">
        <v>0</v>
      </c>
      <c r="M15" s="119">
        <v>0</v>
      </c>
      <c r="N15" s="54">
        <f t="shared" si="4"/>
        <v>0</v>
      </c>
      <c r="O15" s="55">
        <f t="shared" si="5"/>
        <v>0</v>
      </c>
      <c r="P15" s="55">
        <f t="shared" si="6"/>
        <v>0</v>
      </c>
      <c r="Q15" s="56">
        <f t="shared" si="7"/>
        <v>0</v>
      </c>
      <c r="R15" s="77">
        <f t="shared" si="8"/>
        <v>0</v>
      </c>
      <c r="S15" s="247" t="e">
        <f t="shared" si="9"/>
        <v>#DIV/0!</v>
      </c>
      <c r="T15" s="206" t="e">
        <f t="shared" si="10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9">
        <f>'summary sheet'!$E$2</f>
        <v>120</v>
      </c>
      <c r="J16" s="315">
        <f t="shared" si="11"/>
        <v>0</v>
      </c>
      <c r="K16" s="118">
        <v>0</v>
      </c>
      <c r="L16" s="118">
        <v>0</v>
      </c>
      <c r="M16" s="119">
        <v>0</v>
      </c>
      <c r="N16" s="54">
        <f t="shared" si="4"/>
        <v>0</v>
      </c>
      <c r="O16" s="55">
        <f t="shared" si="5"/>
        <v>0</v>
      </c>
      <c r="P16" s="55">
        <f t="shared" si="6"/>
        <v>0</v>
      </c>
      <c r="Q16" s="56">
        <f t="shared" si="7"/>
        <v>0</v>
      </c>
      <c r="R16" s="77">
        <f t="shared" si="8"/>
        <v>0</v>
      </c>
      <c r="S16" s="247" t="e">
        <f t="shared" si="9"/>
        <v>#DIV/0!</v>
      </c>
      <c r="T16" s="206" t="e">
        <f t="shared" si="10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9">
        <f>'summary sheet'!$E$2</f>
        <v>120</v>
      </c>
      <c r="J17" s="315">
        <f t="shared" si="11"/>
        <v>0</v>
      </c>
      <c r="K17" s="118">
        <v>0</v>
      </c>
      <c r="L17" s="118">
        <v>0</v>
      </c>
      <c r="M17" s="119">
        <v>0</v>
      </c>
      <c r="N17" s="54">
        <f t="shared" si="4"/>
        <v>0</v>
      </c>
      <c r="O17" s="55">
        <f t="shared" si="5"/>
        <v>0</v>
      </c>
      <c r="P17" s="55">
        <f t="shared" si="6"/>
        <v>0</v>
      </c>
      <c r="Q17" s="56">
        <f t="shared" si="7"/>
        <v>0</v>
      </c>
      <c r="R17" s="77">
        <f t="shared" si="8"/>
        <v>0</v>
      </c>
      <c r="S17" s="247" t="e">
        <f t="shared" si="9"/>
        <v>#DIV/0!</v>
      </c>
      <c r="T17" s="206" t="e">
        <f t="shared" si="10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9">
        <f>'summary sheet'!$E$2</f>
        <v>120</v>
      </c>
      <c r="J18" s="315">
        <f t="shared" si="11"/>
        <v>0</v>
      </c>
      <c r="K18" s="118">
        <v>0</v>
      </c>
      <c r="L18" s="118">
        <v>0</v>
      </c>
      <c r="M18" s="119">
        <v>0</v>
      </c>
      <c r="N18" s="54">
        <f t="shared" si="4"/>
        <v>0</v>
      </c>
      <c r="O18" s="55">
        <f t="shared" si="5"/>
        <v>0</v>
      </c>
      <c r="P18" s="55">
        <f t="shared" si="6"/>
        <v>0</v>
      </c>
      <c r="Q18" s="56">
        <f t="shared" si="7"/>
        <v>0</v>
      </c>
      <c r="R18" s="77">
        <f t="shared" si="8"/>
        <v>0</v>
      </c>
      <c r="S18" s="247" t="e">
        <f t="shared" si="9"/>
        <v>#DIV/0!</v>
      </c>
      <c r="T18" s="206" t="e">
        <f t="shared" si="10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9">
        <f>'summary sheet'!$E$2</f>
        <v>120</v>
      </c>
      <c r="J19" s="315">
        <f>SUM(H19*I19)*G19</f>
        <v>0</v>
      </c>
      <c r="K19" s="118">
        <v>0</v>
      </c>
      <c r="L19" s="118">
        <v>0</v>
      </c>
      <c r="M19" s="119">
        <v>0</v>
      </c>
      <c r="N19" s="54">
        <f t="shared" ref="N19:N38" si="12">J19</f>
        <v>0</v>
      </c>
      <c r="O19" s="55">
        <f t="shared" si="0"/>
        <v>0</v>
      </c>
      <c r="P19" s="55">
        <f t="shared" si="1"/>
        <v>0</v>
      </c>
      <c r="Q19" s="56">
        <f t="shared" ref="Q19:Q38" si="13">M19</f>
        <v>0</v>
      </c>
      <c r="R19" s="77">
        <f t="shared" si="2"/>
        <v>0</v>
      </c>
      <c r="S19" s="247" t="e">
        <f t="shared" si="9"/>
        <v>#DIV/0!</v>
      </c>
      <c r="T19" s="206" t="e">
        <f t="shared" si="3"/>
        <v>#DIV/0!</v>
      </c>
      <c r="U19" s="89"/>
      <c r="V19" s="51"/>
    </row>
    <row r="20" spans="1:22">
      <c r="A20" s="226">
        <v>12</v>
      </c>
      <c r="B20" s="178"/>
      <c r="C20" s="112"/>
      <c r="D20" s="178"/>
      <c r="E20" s="112"/>
      <c r="F20" s="112"/>
      <c r="G20" s="171"/>
      <c r="H20" s="225"/>
      <c r="I20" s="309">
        <f>'summary sheet'!$E$2</f>
        <v>120</v>
      </c>
      <c r="J20" s="315">
        <f t="shared" ref="J20:J38" si="14">SUM(H20*I20)*G20</f>
        <v>0</v>
      </c>
      <c r="K20" s="118">
        <v>0</v>
      </c>
      <c r="L20" s="118">
        <v>0</v>
      </c>
      <c r="M20" s="119">
        <v>0</v>
      </c>
      <c r="N20" s="54">
        <f t="shared" si="12"/>
        <v>0</v>
      </c>
      <c r="O20" s="55">
        <f t="shared" si="0"/>
        <v>0</v>
      </c>
      <c r="P20" s="55">
        <f t="shared" si="1"/>
        <v>0</v>
      </c>
      <c r="Q20" s="56">
        <f t="shared" si="13"/>
        <v>0</v>
      </c>
      <c r="R20" s="77">
        <f t="shared" si="2"/>
        <v>0</v>
      </c>
      <c r="S20" s="247" t="e">
        <f t="shared" si="9"/>
        <v>#DIV/0!</v>
      </c>
      <c r="T20" s="206" t="e">
        <f t="shared" si="3"/>
        <v>#DIV/0!</v>
      </c>
      <c r="U20" s="89"/>
    </row>
    <row r="21" spans="1:22" ht="13.2" customHeight="1">
      <c r="A21" s="226">
        <v>13</v>
      </c>
      <c r="B21" s="178"/>
      <c r="C21" s="112"/>
      <c r="D21" s="178"/>
      <c r="E21" s="112"/>
      <c r="F21" s="112"/>
      <c r="G21" s="171"/>
      <c r="H21" s="225"/>
      <c r="I21" s="309">
        <f>'summary sheet'!$E$2</f>
        <v>120</v>
      </c>
      <c r="J21" s="315">
        <f t="shared" si="14"/>
        <v>0</v>
      </c>
      <c r="K21" s="118">
        <v>0</v>
      </c>
      <c r="L21" s="118">
        <v>0</v>
      </c>
      <c r="M21" s="119">
        <v>0</v>
      </c>
      <c r="N21" s="54">
        <f t="shared" si="12"/>
        <v>0</v>
      </c>
      <c r="O21" s="55">
        <f t="shared" si="0"/>
        <v>0</v>
      </c>
      <c r="P21" s="55">
        <f t="shared" si="1"/>
        <v>0</v>
      </c>
      <c r="Q21" s="56">
        <f t="shared" si="13"/>
        <v>0</v>
      </c>
      <c r="R21" s="77">
        <f t="shared" si="2"/>
        <v>0</v>
      </c>
      <c r="S21" s="247" t="e">
        <f t="shared" si="9"/>
        <v>#DIV/0!</v>
      </c>
      <c r="T21" s="206" t="e">
        <f t="shared" si="3"/>
        <v>#DIV/0!</v>
      </c>
      <c r="U21" s="89"/>
    </row>
    <row r="22" spans="1:22" ht="13.2" customHeight="1">
      <c r="A22" s="226">
        <v>14</v>
      </c>
      <c r="B22" s="178"/>
      <c r="C22" s="112"/>
      <c r="D22" s="178"/>
      <c r="E22" s="112"/>
      <c r="F22" s="112"/>
      <c r="G22" s="171"/>
      <c r="H22" s="225"/>
      <c r="I22" s="309">
        <f>'summary sheet'!$E$2</f>
        <v>120</v>
      </c>
      <c r="J22" s="315">
        <f t="shared" si="14"/>
        <v>0</v>
      </c>
      <c r="K22" s="118">
        <v>0</v>
      </c>
      <c r="L22" s="118">
        <v>0</v>
      </c>
      <c r="M22" s="119">
        <v>0</v>
      </c>
      <c r="N22" s="54">
        <f t="shared" si="12"/>
        <v>0</v>
      </c>
      <c r="O22" s="55">
        <f t="shared" si="0"/>
        <v>0</v>
      </c>
      <c r="P22" s="55">
        <f t="shared" si="1"/>
        <v>0</v>
      </c>
      <c r="Q22" s="56">
        <f t="shared" si="13"/>
        <v>0</v>
      </c>
      <c r="R22" s="77">
        <f t="shared" si="2"/>
        <v>0</v>
      </c>
      <c r="S22" s="247" t="e">
        <f t="shared" si="9"/>
        <v>#DIV/0!</v>
      </c>
      <c r="T22" s="206" t="e">
        <f t="shared" si="3"/>
        <v>#DIV/0!</v>
      </c>
      <c r="U22" s="89"/>
    </row>
    <row r="23" spans="1:22" ht="13.2" customHeight="1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9">
        <f>'summary sheet'!$E$2</f>
        <v>120</v>
      </c>
      <c r="J23" s="315">
        <f t="shared" si="14"/>
        <v>0</v>
      </c>
      <c r="K23" s="118">
        <v>0</v>
      </c>
      <c r="L23" s="118">
        <v>0</v>
      </c>
      <c r="M23" s="119">
        <v>0</v>
      </c>
      <c r="N23" s="54">
        <f t="shared" si="12"/>
        <v>0</v>
      </c>
      <c r="O23" s="55">
        <f t="shared" si="0"/>
        <v>0</v>
      </c>
      <c r="P23" s="55">
        <f t="shared" si="1"/>
        <v>0</v>
      </c>
      <c r="Q23" s="56">
        <f t="shared" si="13"/>
        <v>0</v>
      </c>
      <c r="R23" s="77">
        <f t="shared" si="2"/>
        <v>0</v>
      </c>
      <c r="S23" s="247" t="e">
        <f t="shared" si="9"/>
        <v>#DIV/0!</v>
      </c>
      <c r="T23" s="206" t="e">
        <f t="shared" si="3"/>
        <v>#DIV/0!</v>
      </c>
      <c r="U23" s="89"/>
    </row>
    <row r="24" spans="1:22" ht="13.2" hidden="1" customHeight="1">
      <c r="A24" s="226">
        <v>16</v>
      </c>
      <c r="B24" s="178"/>
      <c r="C24" s="112"/>
      <c r="D24" s="178"/>
      <c r="E24" s="112"/>
      <c r="F24" s="112"/>
      <c r="G24" s="171"/>
      <c r="H24" s="225"/>
      <c r="I24" s="309">
        <f>'summary sheet'!$E$2</f>
        <v>120</v>
      </c>
      <c r="J24" s="315">
        <f t="shared" si="14"/>
        <v>0</v>
      </c>
      <c r="K24" s="118">
        <v>0</v>
      </c>
      <c r="L24" s="118">
        <v>0</v>
      </c>
      <c r="M24" s="119">
        <v>0</v>
      </c>
      <c r="N24" s="54">
        <f t="shared" si="12"/>
        <v>0</v>
      </c>
      <c r="O24" s="55">
        <f t="shared" si="0"/>
        <v>0</v>
      </c>
      <c r="P24" s="55">
        <f t="shared" si="1"/>
        <v>0</v>
      </c>
      <c r="Q24" s="56">
        <f t="shared" si="13"/>
        <v>0</v>
      </c>
      <c r="R24" s="77">
        <f t="shared" si="2"/>
        <v>0</v>
      </c>
      <c r="S24" s="247" t="e">
        <f t="shared" si="9"/>
        <v>#DIV/0!</v>
      </c>
      <c r="T24" s="206" t="e">
        <f t="shared" si="3"/>
        <v>#DIV/0!</v>
      </c>
      <c r="U24" s="89"/>
    </row>
    <row r="25" spans="1:22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9">
        <f>'summary sheet'!$E$2</f>
        <v>120</v>
      </c>
      <c r="J25" s="315">
        <f t="shared" si="14"/>
        <v>0</v>
      </c>
      <c r="K25" s="118">
        <v>0</v>
      </c>
      <c r="L25" s="118">
        <v>0</v>
      </c>
      <c r="M25" s="119">
        <v>0</v>
      </c>
      <c r="N25" s="54">
        <f t="shared" si="12"/>
        <v>0</v>
      </c>
      <c r="O25" s="55">
        <f t="shared" si="0"/>
        <v>0</v>
      </c>
      <c r="P25" s="55">
        <f t="shared" si="1"/>
        <v>0</v>
      </c>
      <c r="Q25" s="56">
        <f t="shared" si="13"/>
        <v>0</v>
      </c>
      <c r="R25" s="77">
        <f t="shared" si="2"/>
        <v>0</v>
      </c>
      <c r="S25" s="247" t="e">
        <f t="shared" si="9"/>
        <v>#DIV/0!</v>
      </c>
      <c r="T25" s="206" t="e">
        <f t="shared" si="3"/>
        <v>#DIV/0!</v>
      </c>
      <c r="U25" s="89"/>
    </row>
    <row r="26" spans="1:22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9">
        <f>'summary sheet'!$E$2</f>
        <v>120</v>
      </c>
      <c r="J26" s="315">
        <f t="shared" si="14"/>
        <v>0</v>
      </c>
      <c r="K26" s="118">
        <v>0</v>
      </c>
      <c r="L26" s="118">
        <v>0</v>
      </c>
      <c r="M26" s="119">
        <v>0</v>
      </c>
      <c r="N26" s="54">
        <f t="shared" si="12"/>
        <v>0</v>
      </c>
      <c r="O26" s="55">
        <f t="shared" si="0"/>
        <v>0</v>
      </c>
      <c r="P26" s="55">
        <f t="shared" si="1"/>
        <v>0</v>
      </c>
      <c r="Q26" s="56">
        <f t="shared" si="13"/>
        <v>0</v>
      </c>
      <c r="R26" s="77">
        <f t="shared" si="2"/>
        <v>0</v>
      </c>
      <c r="S26" s="247" t="e">
        <f t="shared" si="9"/>
        <v>#DIV/0!</v>
      </c>
      <c r="T26" s="206" t="e">
        <f t="shared" si="3"/>
        <v>#DIV/0!</v>
      </c>
      <c r="U26" s="89"/>
    </row>
    <row r="27" spans="1:22" hidden="1">
      <c r="A27" s="226">
        <v>19</v>
      </c>
      <c r="B27" s="178"/>
      <c r="C27" s="112"/>
      <c r="D27" s="178"/>
      <c r="E27" s="112"/>
      <c r="F27" s="112"/>
      <c r="G27" s="171"/>
      <c r="H27" s="225"/>
      <c r="I27" s="309">
        <f>'summary sheet'!$E$2</f>
        <v>120</v>
      </c>
      <c r="J27" s="315">
        <f t="shared" si="14"/>
        <v>0</v>
      </c>
      <c r="K27" s="118">
        <v>0</v>
      </c>
      <c r="L27" s="118">
        <v>0</v>
      </c>
      <c r="M27" s="119">
        <v>0</v>
      </c>
      <c r="N27" s="54">
        <f t="shared" si="12"/>
        <v>0</v>
      </c>
      <c r="O27" s="55">
        <f t="shared" si="0"/>
        <v>0</v>
      </c>
      <c r="P27" s="55">
        <f t="shared" si="1"/>
        <v>0</v>
      </c>
      <c r="Q27" s="56">
        <f t="shared" si="13"/>
        <v>0</v>
      </c>
      <c r="R27" s="77">
        <f t="shared" si="2"/>
        <v>0</v>
      </c>
      <c r="S27" s="247" t="e">
        <f t="shared" si="9"/>
        <v>#DIV/0!</v>
      </c>
      <c r="T27" s="206" t="e">
        <f t="shared" si="3"/>
        <v>#DIV/0!</v>
      </c>
      <c r="U27" s="89"/>
    </row>
    <row r="28" spans="1:22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9">
        <f>'summary sheet'!$E$2</f>
        <v>120</v>
      </c>
      <c r="J28" s="315">
        <f t="shared" si="14"/>
        <v>0</v>
      </c>
      <c r="K28" s="118">
        <v>0</v>
      </c>
      <c r="L28" s="118">
        <v>0</v>
      </c>
      <c r="M28" s="119">
        <v>0</v>
      </c>
      <c r="N28" s="54">
        <f t="shared" si="12"/>
        <v>0</v>
      </c>
      <c r="O28" s="55">
        <f t="shared" si="0"/>
        <v>0</v>
      </c>
      <c r="P28" s="55">
        <f t="shared" si="1"/>
        <v>0</v>
      </c>
      <c r="Q28" s="56">
        <f t="shared" si="13"/>
        <v>0</v>
      </c>
      <c r="R28" s="77">
        <f t="shared" si="2"/>
        <v>0</v>
      </c>
      <c r="S28" s="247" t="e">
        <f t="shared" si="9"/>
        <v>#DIV/0!</v>
      </c>
      <c r="T28" s="206" t="e">
        <f t="shared" si="3"/>
        <v>#DIV/0!</v>
      </c>
      <c r="U28" s="89"/>
    </row>
    <row r="29" spans="1:22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9">
        <f>'summary sheet'!$E$2</f>
        <v>120</v>
      </c>
      <c r="J29" s="315">
        <f t="shared" si="14"/>
        <v>0</v>
      </c>
      <c r="K29" s="118">
        <v>0</v>
      </c>
      <c r="L29" s="118">
        <v>0</v>
      </c>
      <c r="M29" s="119">
        <v>0</v>
      </c>
      <c r="N29" s="54">
        <f t="shared" si="12"/>
        <v>0</v>
      </c>
      <c r="O29" s="55">
        <f t="shared" si="0"/>
        <v>0</v>
      </c>
      <c r="P29" s="55">
        <f t="shared" si="1"/>
        <v>0</v>
      </c>
      <c r="Q29" s="56">
        <f t="shared" si="13"/>
        <v>0</v>
      </c>
      <c r="R29" s="77">
        <f t="shared" si="2"/>
        <v>0</v>
      </c>
      <c r="S29" s="247" t="e">
        <f t="shared" si="9"/>
        <v>#DIV/0!</v>
      </c>
      <c r="T29" s="206" t="e">
        <f t="shared" si="3"/>
        <v>#DIV/0!</v>
      </c>
      <c r="U29" s="89"/>
    </row>
    <row r="30" spans="1:22" hidden="1">
      <c r="A30" s="226">
        <v>22</v>
      </c>
      <c r="B30" s="178"/>
      <c r="C30" s="112"/>
      <c r="D30" s="178"/>
      <c r="E30" s="112"/>
      <c r="F30" s="112"/>
      <c r="G30" s="171"/>
      <c r="H30" s="225"/>
      <c r="I30" s="309">
        <f>'summary sheet'!$E$2</f>
        <v>120</v>
      </c>
      <c r="J30" s="315">
        <f t="shared" si="14"/>
        <v>0</v>
      </c>
      <c r="K30" s="118">
        <v>0</v>
      </c>
      <c r="L30" s="118">
        <v>0</v>
      </c>
      <c r="M30" s="119">
        <v>0</v>
      </c>
      <c r="N30" s="54">
        <f t="shared" si="12"/>
        <v>0</v>
      </c>
      <c r="O30" s="55">
        <f t="shared" si="0"/>
        <v>0</v>
      </c>
      <c r="P30" s="55">
        <f t="shared" si="1"/>
        <v>0</v>
      </c>
      <c r="Q30" s="56">
        <f t="shared" si="13"/>
        <v>0</v>
      </c>
      <c r="R30" s="77">
        <f t="shared" si="2"/>
        <v>0</v>
      </c>
      <c r="S30" s="247" t="e">
        <f t="shared" si="9"/>
        <v>#DIV/0!</v>
      </c>
      <c r="T30" s="206" t="e">
        <f t="shared" si="3"/>
        <v>#DIV/0!</v>
      </c>
      <c r="U30" s="89"/>
    </row>
    <row r="31" spans="1:22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9">
        <f>'summary sheet'!$E$2</f>
        <v>120</v>
      </c>
      <c r="J31" s="315">
        <f t="shared" si="14"/>
        <v>0</v>
      </c>
      <c r="K31" s="118">
        <v>0</v>
      </c>
      <c r="L31" s="118">
        <v>0</v>
      </c>
      <c r="M31" s="119">
        <v>0</v>
      </c>
      <c r="N31" s="54">
        <f t="shared" si="12"/>
        <v>0</v>
      </c>
      <c r="O31" s="55">
        <f t="shared" si="0"/>
        <v>0</v>
      </c>
      <c r="P31" s="55">
        <f t="shared" si="1"/>
        <v>0</v>
      </c>
      <c r="Q31" s="56">
        <f t="shared" si="13"/>
        <v>0</v>
      </c>
      <c r="R31" s="77">
        <f t="shared" si="2"/>
        <v>0</v>
      </c>
      <c r="S31" s="247" t="e">
        <f t="shared" si="9"/>
        <v>#DIV/0!</v>
      </c>
      <c r="T31" s="206" t="e">
        <f t="shared" si="3"/>
        <v>#DIV/0!</v>
      </c>
      <c r="U31" s="89"/>
    </row>
    <row r="32" spans="1:22" hidden="1">
      <c r="A32" s="226">
        <v>24</v>
      </c>
      <c r="B32" s="178"/>
      <c r="C32" s="112"/>
      <c r="D32" s="178"/>
      <c r="E32" s="112"/>
      <c r="F32" s="112"/>
      <c r="G32" s="171"/>
      <c r="H32" s="225"/>
      <c r="I32" s="309">
        <f>'summary sheet'!$E$2</f>
        <v>120</v>
      </c>
      <c r="J32" s="315">
        <f t="shared" ref="J32:J33" si="15">SUM(H32*I32)*G32</f>
        <v>0</v>
      </c>
      <c r="K32" s="118">
        <v>0</v>
      </c>
      <c r="L32" s="118">
        <v>0</v>
      </c>
      <c r="M32" s="119">
        <v>0</v>
      </c>
      <c r="N32" s="54">
        <f t="shared" ref="N32:N33" si="16">J32</f>
        <v>0</v>
      </c>
      <c r="O32" s="55">
        <f t="shared" ref="O32:O33" si="17">SUM(G32)*K32</f>
        <v>0</v>
      </c>
      <c r="P32" s="55">
        <f t="shared" ref="P32:P33" si="18">SUM(L32)</f>
        <v>0</v>
      </c>
      <c r="Q32" s="56">
        <f t="shared" ref="Q32:Q33" si="19">M32</f>
        <v>0</v>
      </c>
      <c r="R32" s="77">
        <f t="shared" ref="R32:R33" si="20">SUM(N32:Q32)</f>
        <v>0</v>
      </c>
      <c r="S32" s="247" t="e">
        <f t="shared" si="9"/>
        <v>#DIV/0!</v>
      </c>
      <c r="T32" s="206" t="e">
        <f t="shared" ref="T32:T33" si="21">S32/G32</f>
        <v>#DIV/0!</v>
      </c>
      <c r="U32" s="89"/>
    </row>
    <row r="33" spans="1:22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9">
        <f>'summary sheet'!$E$2</f>
        <v>120</v>
      </c>
      <c r="J33" s="315">
        <f t="shared" si="15"/>
        <v>0</v>
      </c>
      <c r="K33" s="118">
        <v>0</v>
      </c>
      <c r="L33" s="118">
        <v>0</v>
      </c>
      <c r="M33" s="119">
        <v>0</v>
      </c>
      <c r="N33" s="54">
        <f t="shared" si="16"/>
        <v>0</v>
      </c>
      <c r="O33" s="55">
        <f t="shared" si="17"/>
        <v>0</v>
      </c>
      <c r="P33" s="55">
        <f t="shared" si="18"/>
        <v>0</v>
      </c>
      <c r="Q33" s="56">
        <f t="shared" si="19"/>
        <v>0</v>
      </c>
      <c r="R33" s="77">
        <f t="shared" si="20"/>
        <v>0</v>
      </c>
      <c r="S33" s="247" t="e">
        <f t="shared" si="9"/>
        <v>#DIV/0!</v>
      </c>
      <c r="T33" s="206" t="e">
        <f t="shared" si="21"/>
        <v>#DIV/0!</v>
      </c>
      <c r="U33" s="89"/>
    </row>
    <row r="34" spans="1:22" hidden="1">
      <c r="A34" s="226">
        <v>26</v>
      </c>
      <c r="B34" s="178"/>
      <c r="C34" s="112"/>
      <c r="D34" s="178"/>
      <c r="E34" s="112"/>
      <c r="F34" s="112"/>
      <c r="G34" s="171"/>
      <c r="H34" s="225"/>
      <c r="I34" s="309">
        <f>'summary sheet'!$E$2</f>
        <v>120</v>
      </c>
      <c r="J34" s="315">
        <f t="shared" si="14"/>
        <v>0</v>
      </c>
      <c r="K34" s="118">
        <v>0</v>
      </c>
      <c r="L34" s="118">
        <v>0</v>
      </c>
      <c r="M34" s="119">
        <v>0</v>
      </c>
      <c r="N34" s="54">
        <f t="shared" si="12"/>
        <v>0</v>
      </c>
      <c r="O34" s="55">
        <f t="shared" si="0"/>
        <v>0</v>
      </c>
      <c r="P34" s="55">
        <f t="shared" si="1"/>
        <v>0</v>
      </c>
      <c r="Q34" s="56">
        <f t="shared" si="13"/>
        <v>0</v>
      </c>
      <c r="R34" s="77">
        <f t="shared" si="2"/>
        <v>0</v>
      </c>
      <c r="S34" s="247" t="e">
        <f t="shared" si="9"/>
        <v>#DIV/0!</v>
      </c>
      <c r="T34" s="206" t="e">
        <f t="shared" si="3"/>
        <v>#DIV/0!</v>
      </c>
      <c r="U34" s="89"/>
    </row>
    <row r="35" spans="1:22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9">
        <f>'summary sheet'!$E$2</f>
        <v>120</v>
      </c>
      <c r="J35" s="315">
        <f t="shared" si="14"/>
        <v>0</v>
      </c>
      <c r="K35" s="118">
        <v>0</v>
      </c>
      <c r="L35" s="118">
        <v>0</v>
      </c>
      <c r="M35" s="119">
        <v>0</v>
      </c>
      <c r="N35" s="54">
        <f t="shared" si="12"/>
        <v>0</v>
      </c>
      <c r="O35" s="55">
        <f t="shared" si="0"/>
        <v>0</v>
      </c>
      <c r="P35" s="55">
        <f t="shared" si="1"/>
        <v>0</v>
      </c>
      <c r="Q35" s="56">
        <f t="shared" si="13"/>
        <v>0</v>
      </c>
      <c r="R35" s="77">
        <f t="shared" si="2"/>
        <v>0</v>
      </c>
      <c r="S35" s="247" t="e">
        <f t="shared" si="9"/>
        <v>#DIV/0!</v>
      </c>
      <c r="T35" s="206" t="e">
        <f t="shared" si="3"/>
        <v>#DIV/0!</v>
      </c>
      <c r="U35" s="89"/>
    </row>
    <row r="36" spans="1:22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9">
        <f>'summary sheet'!$E$2</f>
        <v>120</v>
      </c>
      <c r="J36" s="315">
        <f t="shared" si="14"/>
        <v>0</v>
      </c>
      <c r="K36" s="118">
        <v>0</v>
      </c>
      <c r="L36" s="118">
        <v>0</v>
      </c>
      <c r="M36" s="119">
        <v>0</v>
      </c>
      <c r="N36" s="54">
        <f t="shared" si="12"/>
        <v>0</v>
      </c>
      <c r="O36" s="55">
        <f t="shared" si="0"/>
        <v>0</v>
      </c>
      <c r="P36" s="55">
        <f t="shared" si="1"/>
        <v>0</v>
      </c>
      <c r="Q36" s="56">
        <f t="shared" si="13"/>
        <v>0</v>
      </c>
      <c r="R36" s="77">
        <f t="shared" si="2"/>
        <v>0</v>
      </c>
      <c r="S36" s="247" t="e">
        <f t="shared" si="9"/>
        <v>#DIV/0!</v>
      </c>
      <c r="T36" s="206" t="e">
        <f t="shared" si="3"/>
        <v>#DIV/0!</v>
      </c>
      <c r="U36" s="89"/>
    </row>
    <row r="37" spans="1:22" hidden="1">
      <c r="A37" s="226">
        <v>29</v>
      </c>
      <c r="B37" s="178"/>
      <c r="C37" s="112"/>
      <c r="D37" s="178"/>
      <c r="E37" s="112"/>
      <c r="F37" s="112"/>
      <c r="G37" s="171"/>
      <c r="H37" s="225"/>
      <c r="I37" s="309">
        <f>'summary sheet'!$E$2</f>
        <v>120</v>
      </c>
      <c r="J37" s="315">
        <f t="shared" si="14"/>
        <v>0</v>
      </c>
      <c r="K37" s="118">
        <v>0</v>
      </c>
      <c r="L37" s="118">
        <v>0</v>
      </c>
      <c r="M37" s="119">
        <v>0</v>
      </c>
      <c r="N37" s="54">
        <f t="shared" si="12"/>
        <v>0</v>
      </c>
      <c r="O37" s="55">
        <f t="shared" si="0"/>
        <v>0</v>
      </c>
      <c r="P37" s="55">
        <f t="shared" si="1"/>
        <v>0</v>
      </c>
      <c r="Q37" s="56">
        <f t="shared" si="13"/>
        <v>0</v>
      </c>
      <c r="R37" s="77">
        <f t="shared" si="2"/>
        <v>0</v>
      </c>
      <c r="S37" s="247" t="e">
        <f t="shared" si="9"/>
        <v>#DIV/0!</v>
      </c>
      <c r="T37" s="206" t="e">
        <f t="shared" si="3"/>
        <v>#DIV/0!</v>
      </c>
      <c r="U37" s="89"/>
    </row>
    <row r="38" spans="1:22" hidden="1">
      <c r="A38" s="226">
        <v>30</v>
      </c>
      <c r="B38" s="178"/>
      <c r="C38" s="112"/>
      <c r="D38" s="178"/>
      <c r="E38" s="112"/>
      <c r="F38" s="112"/>
      <c r="G38" s="171"/>
      <c r="H38" s="225"/>
      <c r="I38" s="309">
        <f>'summary sheet'!$E$2</f>
        <v>120</v>
      </c>
      <c r="J38" s="315">
        <f t="shared" si="14"/>
        <v>0</v>
      </c>
      <c r="K38" s="118">
        <v>0</v>
      </c>
      <c r="L38" s="118">
        <v>0</v>
      </c>
      <c r="M38" s="119">
        <v>0</v>
      </c>
      <c r="N38" s="54">
        <f t="shared" si="12"/>
        <v>0</v>
      </c>
      <c r="O38" s="55">
        <f t="shared" si="0"/>
        <v>0</v>
      </c>
      <c r="P38" s="55">
        <f t="shared" si="1"/>
        <v>0</v>
      </c>
      <c r="Q38" s="56">
        <f t="shared" si="13"/>
        <v>0</v>
      </c>
      <c r="R38" s="77">
        <f t="shared" si="2"/>
        <v>0</v>
      </c>
      <c r="S38" s="247" t="e">
        <f t="shared" si="9"/>
        <v>#DIV/0!</v>
      </c>
      <c r="T38" s="206" t="e">
        <f t="shared" si="3"/>
        <v>#DIV/0!</v>
      </c>
      <c r="U38" s="89"/>
    </row>
    <row r="39" spans="1:22" ht="12.75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9">
        <f>'summary sheet'!$E$2</f>
        <v>120</v>
      </c>
      <c r="J39" s="315">
        <f>SUM(H39*I39)*G39</f>
        <v>0</v>
      </c>
      <c r="K39" s="118">
        <v>0</v>
      </c>
      <c r="L39" s="118">
        <v>0</v>
      </c>
      <c r="M39" s="119">
        <v>0</v>
      </c>
      <c r="N39" s="54">
        <f>J39</f>
        <v>0</v>
      </c>
      <c r="O39" s="55">
        <f t="shared" ref="O39" si="22">SUM(G39)*K39</f>
        <v>0</v>
      </c>
      <c r="P39" s="55">
        <f t="shared" ref="P39" si="23">SUM(L39)</f>
        <v>0</v>
      </c>
      <c r="Q39" s="56">
        <f>M39</f>
        <v>0</v>
      </c>
      <c r="R39" s="77">
        <f t="shared" ref="R39" si="24">SUM(N39:Q39)</f>
        <v>0</v>
      </c>
      <c r="S39" s="247" t="e">
        <f t="shared" si="9"/>
        <v>#DIV/0!</v>
      </c>
      <c r="T39" s="206" t="e">
        <f t="shared" ref="T39" si="25">S39/G39</f>
        <v>#DIV/0!</v>
      </c>
      <c r="U39" s="88"/>
      <c r="V39" s="51"/>
    </row>
    <row r="40" spans="1:22" hidden="1">
      <c r="A40" s="226">
        <v>32</v>
      </c>
      <c r="B40" s="178"/>
      <c r="C40" s="112"/>
      <c r="D40" s="178"/>
      <c r="E40" s="112"/>
      <c r="F40" s="112"/>
      <c r="G40" s="171"/>
      <c r="H40" s="225"/>
      <c r="I40" s="309">
        <f>'summary sheet'!$E$2</f>
        <v>120</v>
      </c>
      <c r="J40" s="315">
        <f>SUM(H40*I40)*G40</f>
        <v>0</v>
      </c>
      <c r="K40" s="118">
        <v>0</v>
      </c>
      <c r="L40" s="118">
        <v>0</v>
      </c>
      <c r="M40" s="119">
        <v>0</v>
      </c>
      <c r="N40" s="54">
        <f t="shared" ref="N40:N58" si="26">J40</f>
        <v>0</v>
      </c>
      <c r="O40" s="55">
        <f t="shared" ref="O40:O58" si="27">SUM(G40)*K40</f>
        <v>0</v>
      </c>
      <c r="P40" s="55">
        <f t="shared" ref="P40:P58" si="28">SUM(L40)</f>
        <v>0</v>
      </c>
      <c r="Q40" s="56">
        <f t="shared" ref="Q40:Q58" si="29">M40</f>
        <v>0</v>
      </c>
      <c r="R40" s="77">
        <f t="shared" ref="R40:R58" si="30">SUM(N40:Q40)</f>
        <v>0</v>
      </c>
      <c r="S40" s="247" t="e">
        <f t="shared" si="9"/>
        <v>#DIV/0!</v>
      </c>
      <c r="T40" s="206" t="e">
        <f t="shared" ref="T40:T58" si="31">S40/G40</f>
        <v>#DIV/0!</v>
      </c>
      <c r="U40" s="89"/>
      <c r="V40" s="51"/>
    </row>
    <row r="41" spans="1:22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9">
        <f>'summary sheet'!$E$2</f>
        <v>120</v>
      </c>
      <c r="J41" s="315">
        <f t="shared" ref="J41:J58" si="32">SUM(H41*I41)*G41</f>
        <v>0</v>
      </c>
      <c r="K41" s="118">
        <v>0</v>
      </c>
      <c r="L41" s="118">
        <v>0</v>
      </c>
      <c r="M41" s="119">
        <v>0</v>
      </c>
      <c r="N41" s="54">
        <f t="shared" si="26"/>
        <v>0</v>
      </c>
      <c r="O41" s="55">
        <f t="shared" si="27"/>
        <v>0</v>
      </c>
      <c r="P41" s="55">
        <f t="shared" si="28"/>
        <v>0</v>
      </c>
      <c r="Q41" s="56">
        <f t="shared" si="29"/>
        <v>0</v>
      </c>
      <c r="R41" s="77">
        <f t="shared" si="30"/>
        <v>0</v>
      </c>
      <c r="S41" s="247" t="e">
        <f t="shared" si="9"/>
        <v>#DIV/0!</v>
      </c>
      <c r="T41" s="206" t="e">
        <f t="shared" si="31"/>
        <v>#DIV/0!</v>
      </c>
      <c r="U41" s="89"/>
    </row>
    <row r="42" spans="1:22" ht="13.2" hidden="1" customHeight="1">
      <c r="A42" s="226">
        <v>34</v>
      </c>
      <c r="B42" s="178"/>
      <c r="C42" s="112"/>
      <c r="D42" s="178"/>
      <c r="E42" s="112"/>
      <c r="F42" s="112"/>
      <c r="G42" s="171"/>
      <c r="H42" s="225"/>
      <c r="I42" s="309">
        <f>'summary sheet'!$E$2</f>
        <v>120</v>
      </c>
      <c r="J42" s="315">
        <f t="shared" si="32"/>
        <v>0</v>
      </c>
      <c r="K42" s="118">
        <v>0</v>
      </c>
      <c r="L42" s="118">
        <v>0</v>
      </c>
      <c r="M42" s="119">
        <v>0</v>
      </c>
      <c r="N42" s="54">
        <f t="shared" si="26"/>
        <v>0</v>
      </c>
      <c r="O42" s="55">
        <f t="shared" si="27"/>
        <v>0</v>
      </c>
      <c r="P42" s="55">
        <f t="shared" si="28"/>
        <v>0</v>
      </c>
      <c r="Q42" s="56">
        <f t="shared" si="29"/>
        <v>0</v>
      </c>
      <c r="R42" s="77">
        <f t="shared" si="30"/>
        <v>0</v>
      </c>
      <c r="S42" s="247" t="e">
        <f t="shared" si="9"/>
        <v>#DIV/0!</v>
      </c>
      <c r="T42" s="206" t="e">
        <f t="shared" si="31"/>
        <v>#DIV/0!</v>
      </c>
      <c r="U42" s="89"/>
    </row>
    <row r="43" spans="1:22" ht="13.2" hidden="1" customHeight="1">
      <c r="A43" s="226">
        <v>35</v>
      </c>
      <c r="B43" s="178"/>
      <c r="C43" s="112"/>
      <c r="D43" s="178"/>
      <c r="E43" s="112"/>
      <c r="F43" s="112"/>
      <c r="G43" s="171"/>
      <c r="H43" s="225"/>
      <c r="I43" s="309">
        <f>'summary sheet'!$E$2</f>
        <v>120</v>
      </c>
      <c r="J43" s="315">
        <f t="shared" si="32"/>
        <v>0</v>
      </c>
      <c r="K43" s="118">
        <v>0</v>
      </c>
      <c r="L43" s="118">
        <v>0</v>
      </c>
      <c r="M43" s="119">
        <v>0</v>
      </c>
      <c r="N43" s="54">
        <f t="shared" si="26"/>
        <v>0</v>
      </c>
      <c r="O43" s="55">
        <f t="shared" si="27"/>
        <v>0</v>
      </c>
      <c r="P43" s="55">
        <f t="shared" si="28"/>
        <v>0</v>
      </c>
      <c r="Q43" s="56">
        <f t="shared" si="29"/>
        <v>0</v>
      </c>
      <c r="R43" s="77">
        <f t="shared" si="30"/>
        <v>0</v>
      </c>
      <c r="S43" s="247" t="e">
        <f t="shared" si="9"/>
        <v>#DIV/0!</v>
      </c>
      <c r="T43" s="206" t="e">
        <f t="shared" si="31"/>
        <v>#DIV/0!</v>
      </c>
      <c r="U43" s="89"/>
    </row>
    <row r="44" spans="1:22" ht="13.2" hidden="1" customHeight="1">
      <c r="A44" s="226">
        <v>36</v>
      </c>
      <c r="B44" s="178"/>
      <c r="C44" s="112"/>
      <c r="D44" s="178"/>
      <c r="E44" s="112"/>
      <c r="F44" s="112"/>
      <c r="G44" s="171"/>
      <c r="H44" s="225"/>
      <c r="I44" s="309">
        <f>'summary sheet'!$E$2</f>
        <v>120</v>
      </c>
      <c r="J44" s="315">
        <f t="shared" si="32"/>
        <v>0</v>
      </c>
      <c r="K44" s="118">
        <v>0</v>
      </c>
      <c r="L44" s="118">
        <v>0</v>
      </c>
      <c r="M44" s="119">
        <v>0</v>
      </c>
      <c r="N44" s="54">
        <f t="shared" si="26"/>
        <v>0</v>
      </c>
      <c r="O44" s="55">
        <f t="shared" si="27"/>
        <v>0</v>
      </c>
      <c r="P44" s="55">
        <f t="shared" si="28"/>
        <v>0</v>
      </c>
      <c r="Q44" s="56">
        <f t="shared" si="29"/>
        <v>0</v>
      </c>
      <c r="R44" s="77">
        <f t="shared" si="30"/>
        <v>0</v>
      </c>
      <c r="S44" s="247" t="e">
        <f t="shared" si="9"/>
        <v>#DIV/0!</v>
      </c>
      <c r="T44" s="206" t="e">
        <f t="shared" si="31"/>
        <v>#DIV/0!</v>
      </c>
      <c r="U44" s="89"/>
    </row>
    <row r="45" spans="1:22" ht="13.2" hidden="1" customHeight="1">
      <c r="A45" s="226">
        <v>37</v>
      </c>
      <c r="B45" s="178"/>
      <c r="C45" s="112"/>
      <c r="D45" s="178"/>
      <c r="E45" s="112"/>
      <c r="F45" s="112"/>
      <c r="G45" s="171"/>
      <c r="H45" s="225"/>
      <c r="I45" s="309">
        <f>'summary sheet'!$E$2</f>
        <v>120</v>
      </c>
      <c r="J45" s="315">
        <f t="shared" si="32"/>
        <v>0</v>
      </c>
      <c r="K45" s="118">
        <v>0</v>
      </c>
      <c r="L45" s="118">
        <v>0</v>
      </c>
      <c r="M45" s="119">
        <v>0</v>
      </c>
      <c r="N45" s="54">
        <f t="shared" si="26"/>
        <v>0</v>
      </c>
      <c r="O45" s="55">
        <f t="shared" si="27"/>
        <v>0</v>
      </c>
      <c r="P45" s="55">
        <f t="shared" si="28"/>
        <v>0</v>
      </c>
      <c r="Q45" s="56">
        <f t="shared" si="29"/>
        <v>0</v>
      </c>
      <c r="R45" s="77">
        <f t="shared" si="30"/>
        <v>0</v>
      </c>
      <c r="S45" s="247" t="e">
        <f t="shared" si="9"/>
        <v>#DIV/0!</v>
      </c>
      <c r="T45" s="206" t="e">
        <f t="shared" si="31"/>
        <v>#DIV/0!</v>
      </c>
      <c r="U45" s="89"/>
    </row>
    <row r="46" spans="1:22" hidden="1">
      <c r="A46" s="226">
        <v>38</v>
      </c>
      <c r="B46" s="178"/>
      <c r="C46" s="112"/>
      <c r="D46" s="178"/>
      <c r="E46" s="112"/>
      <c r="F46" s="112"/>
      <c r="G46" s="171"/>
      <c r="H46" s="225"/>
      <c r="I46" s="309">
        <f>'summary sheet'!$E$2</f>
        <v>120</v>
      </c>
      <c r="J46" s="315">
        <f t="shared" si="32"/>
        <v>0</v>
      </c>
      <c r="K46" s="118">
        <v>0</v>
      </c>
      <c r="L46" s="118">
        <v>0</v>
      </c>
      <c r="M46" s="119">
        <v>0</v>
      </c>
      <c r="N46" s="54">
        <f t="shared" si="26"/>
        <v>0</v>
      </c>
      <c r="O46" s="55">
        <f t="shared" si="27"/>
        <v>0</v>
      </c>
      <c r="P46" s="55">
        <f t="shared" si="28"/>
        <v>0</v>
      </c>
      <c r="Q46" s="56">
        <f t="shared" si="29"/>
        <v>0</v>
      </c>
      <c r="R46" s="77">
        <f t="shared" si="30"/>
        <v>0</v>
      </c>
      <c r="S46" s="247" t="e">
        <f t="shared" si="9"/>
        <v>#DIV/0!</v>
      </c>
      <c r="T46" s="206" t="e">
        <f t="shared" si="31"/>
        <v>#DIV/0!</v>
      </c>
      <c r="U46" s="89"/>
    </row>
    <row r="47" spans="1:22" hidden="1">
      <c r="A47" s="226">
        <v>39</v>
      </c>
      <c r="B47" s="178"/>
      <c r="C47" s="112"/>
      <c r="D47" s="178"/>
      <c r="E47" s="112"/>
      <c r="F47" s="112"/>
      <c r="G47" s="171"/>
      <c r="H47" s="225"/>
      <c r="I47" s="309">
        <f>'summary sheet'!$E$2</f>
        <v>120</v>
      </c>
      <c r="J47" s="315">
        <f t="shared" si="32"/>
        <v>0</v>
      </c>
      <c r="K47" s="118">
        <v>0</v>
      </c>
      <c r="L47" s="118">
        <v>0</v>
      </c>
      <c r="M47" s="119">
        <v>0</v>
      </c>
      <c r="N47" s="54">
        <f t="shared" si="26"/>
        <v>0</v>
      </c>
      <c r="O47" s="55">
        <f t="shared" si="27"/>
        <v>0</v>
      </c>
      <c r="P47" s="55">
        <f t="shared" si="28"/>
        <v>0</v>
      </c>
      <c r="Q47" s="56">
        <f t="shared" si="29"/>
        <v>0</v>
      </c>
      <c r="R47" s="77">
        <f t="shared" si="30"/>
        <v>0</v>
      </c>
      <c r="S47" s="247" t="e">
        <f t="shared" si="9"/>
        <v>#DIV/0!</v>
      </c>
      <c r="T47" s="206" t="e">
        <f t="shared" si="31"/>
        <v>#DIV/0!</v>
      </c>
      <c r="U47" s="89"/>
    </row>
    <row r="48" spans="1:22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9">
        <f>'summary sheet'!$E$2</f>
        <v>120</v>
      </c>
      <c r="J48" s="315">
        <f t="shared" si="32"/>
        <v>0</v>
      </c>
      <c r="K48" s="118">
        <v>0</v>
      </c>
      <c r="L48" s="118">
        <v>0</v>
      </c>
      <c r="M48" s="119">
        <v>0</v>
      </c>
      <c r="N48" s="54">
        <f t="shared" si="26"/>
        <v>0</v>
      </c>
      <c r="O48" s="55">
        <f t="shared" si="27"/>
        <v>0</v>
      </c>
      <c r="P48" s="55">
        <f t="shared" si="28"/>
        <v>0</v>
      </c>
      <c r="Q48" s="56">
        <f t="shared" si="29"/>
        <v>0</v>
      </c>
      <c r="R48" s="77">
        <f t="shared" si="30"/>
        <v>0</v>
      </c>
      <c r="S48" s="247" t="e">
        <f t="shared" si="9"/>
        <v>#DIV/0!</v>
      </c>
      <c r="T48" s="206" t="e">
        <f t="shared" si="31"/>
        <v>#DIV/0!</v>
      </c>
      <c r="U48" s="89"/>
    </row>
    <row r="49" spans="1:25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9">
        <f>'summary sheet'!$E$2</f>
        <v>120</v>
      </c>
      <c r="J49" s="315">
        <f t="shared" si="32"/>
        <v>0</v>
      </c>
      <c r="K49" s="118">
        <v>0</v>
      </c>
      <c r="L49" s="118">
        <v>0</v>
      </c>
      <c r="M49" s="119">
        <v>0</v>
      </c>
      <c r="N49" s="54">
        <f t="shared" si="26"/>
        <v>0</v>
      </c>
      <c r="O49" s="55">
        <f t="shared" si="27"/>
        <v>0</v>
      </c>
      <c r="P49" s="55">
        <f t="shared" si="28"/>
        <v>0</v>
      </c>
      <c r="Q49" s="56">
        <f t="shared" si="29"/>
        <v>0</v>
      </c>
      <c r="R49" s="77">
        <f t="shared" si="30"/>
        <v>0</v>
      </c>
      <c r="S49" s="247" t="e">
        <f t="shared" si="9"/>
        <v>#DIV/0!</v>
      </c>
      <c r="T49" s="206" t="e">
        <f t="shared" si="31"/>
        <v>#DIV/0!</v>
      </c>
      <c r="U49" s="89"/>
    </row>
    <row r="50" spans="1:25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9">
        <f>'summary sheet'!$E$2</f>
        <v>120</v>
      </c>
      <c r="J50" s="315">
        <f t="shared" si="32"/>
        <v>0</v>
      </c>
      <c r="K50" s="118">
        <v>0</v>
      </c>
      <c r="L50" s="118">
        <v>0</v>
      </c>
      <c r="M50" s="119">
        <v>0</v>
      </c>
      <c r="N50" s="54">
        <f t="shared" si="26"/>
        <v>0</v>
      </c>
      <c r="O50" s="55">
        <f t="shared" si="27"/>
        <v>0</v>
      </c>
      <c r="P50" s="55">
        <f t="shared" si="28"/>
        <v>0</v>
      </c>
      <c r="Q50" s="56">
        <f t="shared" si="29"/>
        <v>0</v>
      </c>
      <c r="R50" s="77">
        <f t="shared" si="30"/>
        <v>0</v>
      </c>
      <c r="S50" s="247" t="e">
        <f t="shared" si="9"/>
        <v>#DIV/0!</v>
      </c>
      <c r="T50" s="206" t="e">
        <f t="shared" si="31"/>
        <v>#DIV/0!</v>
      </c>
      <c r="U50" s="89"/>
    </row>
    <row r="51" spans="1:25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9">
        <f>'summary sheet'!$E$2</f>
        <v>120</v>
      </c>
      <c r="J51" s="315">
        <f t="shared" si="32"/>
        <v>0</v>
      </c>
      <c r="K51" s="118">
        <v>0</v>
      </c>
      <c r="L51" s="118">
        <v>0</v>
      </c>
      <c r="M51" s="119">
        <v>0</v>
      </c>
      <c r="N51" s="54">
        <f t="shared" si="26"/>
        <v>0</v>
      </c>
      <c r="O51" s="55">
        <f t="shared" si="27"/>
        <v>0</v>
      </c>
      <c r="P51" s="55">
        <f t="shared" si="28"/>
        <v>0</v>
      </c>
      <c r="Q51" s="56">
        <f t="shared" si="29"/>
        <v>0</v>
      </c>
      <c r="R51" s="77">
        <f t="shared" si="30"/>
        <v>0</v>
      </c>
      <c r="S51" s="247" t="e">
        <f t="shared" si="9"/>
        <v>#DIV/0!</v>
      </c>
      <c r="T51" s="206" t="e">
        <f t="shared" si="31"/>
        <v>#DIV/0!</v>
      </c>
      <c r="U51" s="89"/>
    </row>
    <row r="52" spans="1:25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9">
        <f>'summary sheet'!$E$2</f>
        <v>120</v>
      </c>
      <c r="J52" s="315">
        <f t="shared" si="32"/>
        <v>0</v>
      </c>
      <c r="K52" s="118">
        <v>0</v>
      </c>
      <c r="L52" s="118">
        <v>0</v>
      </c>
      <c r="M52" s="119">
        <v>0</v>
      </c>
      <c r="N52" s="54">
        <f t="shared" si="26"/>
        <v>0</v>
      </c>
      <c r="O52" s="55">
        <f t="shared" si="27"/>
        <v>0</v>
      </c>
      <c r="P52" s="55">
        <f t="shared" si="28"/>
        <v>0</v>
      </c>
      <c r="Q52" s="56">
        <f t="shared" si="29"/>
        <v>0</v>
      </c>
      <c r="R52" s="77">
        <f t="shared" si="30"/>
        <v>0</v>
      </c>
      <c r="S52" s="247" t="e">
        <f t="shared" si="9"/>
        <v>#DIV/0!</v>
      </c>
      <c r="T52" s="206" t="e">
        <f t="shared" si="31"/>
        <v>#DIV/0!</v>
      </c>
      <c r="U52" s="89"/>
    </row>
    <row r="53" spans="1:25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9">
        <f>'summary sheet'!$E$2</f>
        <v>120</v>
      </c>
      <c r="J53" s="315">
        <f t="shared" si="32"/>
        <v>0</v>
      </c>
      <c r="K53" s="118">
        <v>0</v>
      </c>
      <c r="L53" s="118">
        <v>0</v>
      </c>
      <c r="M53" s="119">
        <v>0</v>
      </c>
      <c r="N53" s="54">
        <f t="shared" si="26"/>
        <v>0</v>
      </c>
      <c r="O53" s="55">
        <f t="shared" si="27"/>
        <v>0</v>
      </c>
      <c r="P53" s="55">
        <f t="shared" si="28"/>
        <v>0</v>
      </c>
      <c r="Q53" s="56">
        <f t="shared" si="29"/>
        <v>0</v>
      </c>
      <c r="R53" s="77">
        <f t="shared" si="30"/>
        <v>0</v>
      </c>
      <c r="S53" s="247" t="e">
        <f t="shared" si="9"/>
        <v>#DIV/0!</v>
      </c>
      <c r="T53" s="206" t="e">
        <f t="shared" si="31"/>
        <v>#DIV/0!</v>
      </c>
      <c r="U53" s="89"/>
    </row>
    <row r="54" spans="1:25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9">
        <f>'summary sheet'!$E$2</f>
        <v>120</v>
      </c>
      <c r="J54" s="315">
        <f t="shared" si="32"/>
        <v>0</v>
      </c>
      <c r="K54" s="118">
        <v>0</v>
      </c>
      <c r="L54" s="118">
        <v>0</v>
      </c>
      <c r="M54" s="119">
        <v>0</v>
      </c>
      <c r="N54" s="54">
        <f t="shared" si="26"/>
        <v>0</v>
      </c>
      <c r="O54" s="55">
        <f t="shared" si="27"/>
        <v>0</v>
      </c>
      <c r="P54" s="55">
        <f t="shared" si="28"/>
        <v>0</v>
      </c>
      <c r="Q54" s="56">
        <f t="shared" si="29"/>
        <v>0</v>
      </c>
      <c r="R54" s="77">
        <f t="shared" si="30"/>
        <v>0</v>
      </c>
      <c r="S54" s="247" t="e">
        <f t="shared" si="9"/>
        <v>#DIV/0!</v>
      </c>
      <c r="T54" s="206" t="e">
        <f t="shared" si="31"/>
        <v>#DIV/0!</v>
      </c>
      <c r="U54" s="89"/>
    </row>
    <row r="55" spans="1:25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9">
        <f>'summary sheet'!$E$2</f>
        <v>120</v>
      </c>
      <c r="J55" s="315">
        <f t="shared" si="32"/>
        <v>0</v>
      </c>
      <c r="K55" s="118">
        <v>0</v>
      </c>
      <c r="L55" s="118">
        <v>0</v>
      </c>
      <c r="M55" s="119">
        <v>0</v>
      </c>
      <c r="N55" s="54">
        <f t="shared" si="26"/>
        <v>0</v>
      </c>
      <c r="O55" s="55">
        <f t="shared" si="27"/>
        <v>0</v>
      </c>
      <c r="P55" s="55">
        <f t="shared" si="28"/>
        <v>0</v>
      </c>
      <c r="Q55" s="56">
        <f t="shared" si="29"/>
        <v>0</v>
      </c>
      <c r="R55" s="77">
        <f t="shared" si="30"/>
        <v>0</v>
      </c>
      <c r="S55" s="247" t="e">
        <f t="shared" si="9"/>
        <v>#DIV/0!</v>
      </c>
      <c r="T55" s="206" t="e">
        <f t="shared" si="31"/>
        <v>#DIV/0!</v>
      </c>
      <c r="U55" s="89"/>
    </row>
    <row r="56" spans="1:25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9">
        <f>'summary sheet'!$E$2</f>
        <v>120</v>
      </c>
      <c r="J56" s="315">
        <f t="shared" si="32"/>
        <v>0</v>
      </c>
      <c r="K56" s="118">
        <v>0</v>
      </c>
      <c r="L56" s="118">
        <v>0</v>
      </c>
      <c r="M56" s="119">
        <v>0</v>
      </c>
      <c r="N56" s="54">
        <f t="shared" si="26"/>
        <v>0</v>
      </c>
      <c r="O56" s="55">
        <f t="shared" si="27"/>
        <v>0</v>
      </c>
      <c r="P56" s="55">
        <f t="shared" si="28"/>
        <v>0</v>
      </c>
      <c r="Q56" s="56">
        <f t="shared" si="29"/>
        <v>0</v>
      </c>
      <c r="R56" s="77">
        <f t="shared" si="30"/>
        <v>0</v>
      </c>
      <c r="S56" s="247" t="e">
        <f t="shared" si="9"/>
        <v>#DIV/0!</v>
      </c>
      <c r="T56" s="206" t="e">
        <f t="shared" si="31"/>
        <v>#DIV/0!</v>
      </c>
      <c r="U56" s="89"/>
    </row>
    <row r="57" spans="1:25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9">
        <f>'summary sheet'!$E$2</f>
        <v>120</v>
      </c>
      <c r="J57" s="315">
        <f t="shared" si="32"/>
        <v>0</v>
      </c>
      <c r="K57" s="118">
        <v>0</v>
      </c>
      <c r="L57" s="118">
        <v>0</v>
      </c>
      <c r="M57" s="119">
        <v>0</v>
      </c>
      <c r="N57" s="54">
        <f t="shared" si="26"/>
        <v>0</v>
      </c>
      <c r="O57" s="55">
        <f t="shared" si="27"/>
        <v>0</v>
      </c>
      <c r="P57" s="55">
        <f t="shared" si="28"/>
        <v>0</v>
      </c>
      <c r="Q57" s="56">
        <f t="shared" si="29"/>
        <v>0</v>
      </c>
      <c r="R57" s="77">
        <f t="shared" si="30"/>
        <v>0</v>
      </c>
      <c r="S57" s="247" t="e">
        <f t="shared" si="9"/>
        <v>#DIV/0!</v>
      </c>
      <c r="T57" s="206" t="e">
        <f t="shared" si="31"/>
        <v>#DIV/0!</v>
      </c>
      <c r="U57" s="89"/>
    </row>
    <row r="58" spans="1:25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9">
        <f>'summary sheet'!$E$2</f>
        <v>120</v>
      </c>
      <c r="J58" s="315">
        <f t="shared" si="32"/>
        <v>0</v>
      </c>
      <c r="K58" s="118">
        <v>0</v>
      </c>
      <c r="L58" s="118">
        <v>0</v>
      </c>
      <c r="M58" s="119">
        <v>0</v>
      </c>
      <c r="N58" s="54">
        <f t="shared" si="26"/>
        <v>0</v>
      </c>
      <c r="O58" s="55">
        <f t="shared" si="27"/>
        <v>0</v>
      </c>
      <c r="P58" s="55">
        <f t="shared" si="28"/>
        <v>0</v>
      </c>
      <c r="Q58" s="56">
        <f t="shared" si="29"/>
        <v>0</v>
      </c>
      <c r="R58" s="77">
        <f t="shared" si="30"/>
        <v>0</v>
      </c>
      <c r="S58" s="247" t="e">
        <f t="shared" si="9"/>
        <v>#DIV/0!</v>
      </c>
      <c r="T58" s="206" t="e">
        <f t="shared" si="31"/>
        <v>#DIV/0!</v>
      </c>
      <c r="U58" s="89"/>
    </row>
    <row r="59" spans="1:25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SUM(S39:S58)</f>
        <v>#DIV/0!</v>
      </c>
      <c r="T59" s="207"/>
      <c r="U59" s="90">
        <f>SUM(R39:R58)-R59</f>
        <v>0</v>
      </c>
    </row>
    <row r="60" spans="1:25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5" ht="15.6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  <c r="U61"/>
      <c r="V61"/>
      <c r="W61"/>
      <c r="X61"/>
      <c r="Y61"/>
    </row>
    <row r="62" spans="1:25" ht="15" thickTop="1">
      <c r="A62" s="39"/>
      <c r="M62" s="39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  <c r="U62"/>
      <c r="V62"/>
      <c r="W62"/>
      <c r="X62"/>
      <c r="Y62"/>
    </row>
    <row r="63" spans="1:25" ht="15" thickBot="1">
      <c r="A63" s="39"/>
      <c r="B63"/>
      <c r="C63"/>
      <c r="D63"/>
      <c r="E63"/>
      <c r="F63"/>
      <c r="G63"/>
      <c r="H63"/>
      <c r="I63"/>
      <c r="J63"/>
      <c r="K63"/>
      <c r="L63"/>
      <c r="M63"/>
      <c r="N63" s="67"/>
      <c r="O63" s="42"/>
      <c r="P63" s="43"/>
      <c r="Q63" s="47"/>
      <c r="R63" s="80"/>
      <c r="S63" s="210"/>
      <c r="T63" s="210"/>
      <c r="U63" s="251"/>
      <c r="V63" s="251"/>
      <c r="W63" s="251"/>
      <c r="X63" s="251"/>
      <c r="Y63" s="251"/>
    </row>
    <row r="64" spans="1:25" ht="15" thickTop="1">
      <c r="A64" s="39"/>
      <c r="B64"/>
      <c r="C64"/>
      <c r="D64"/>
      <c r="E64"/>
      <c r="F64"/>
      <c r="G64"/>
      <c r="H64"/>
      <c r="I64"/>
      <c r="J64"/>
      <c r="K64"/>
      <c r="L64"/>
      <c r="M64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33">SUM(O64)*Q64</f>
        <v>0</v>
      </c>
      <c r="S64" s="211"/>
      <c r="T64" s="211"/>
      <c r="U64" s="251"/>
      <c r="V64" s="251"/>
      <c r="W64" s="251"/>
      <c r="X64" s="251"/>
      <c r="Y64" s="251"/>
    </row>
    <row r="65" spans="1:25" ht="14.4">
      <c r="A65" s="39"/>
      <c r="B65"/>
      <c r="C65"/>
      <c r="D65"/>
      <c r="E65"/>
      <c r="F65"/>
      <c r="G65"/>
      <c r="H65"/>
      <c r="I65"/>
      <c r="J65"/>
      <c r="K65"/>
      <c r="L65"/>
      <c r="M65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  <c r="U65" s="251"/>
      <c r="V65" s="251"/>
      <c r="W65" s="251"/>
      <c r="X65" s="251"/>
      <c r="Y65" s="251"/>
    </row>
    <row r="66" spans="1:25" ht="21.6">
      <c r="A66" s="39"/>
      <c r="B66"/>
      <c r="C66"/>
      <c r="D66"/>
      <c r="E66"/>
      <c r="F66"/>
      <c r="G66"/>
      <c r="H66"/>
      <c r="I66"/>
      <c r="J66"/>
      <c r="K66"/>
      <c r="L66"/>
      <c r="M66"/>
      <c r="N66" s="116" t="s">
        <v>56</v>
      </c>
      <c r="O66" s="286" t="str">
        <f>IF($N$59=0,"0",1)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  <c r="U66" s="251"/>
      <c r="V66" s="251"/>
      <c r="W66" s="251"/>
      <c r="X66" s="251"/>
      <c r="Y66" s="251"/>
    </row>
    <row r="67" spans="1:25" ht="14.4">
      <c r="B67"/>
      <c r="C67"/>
      <c r="D67"/>
      <c r="E67"/>
      <c r="F67"/>
      <c r="G67"/>
      <c r="H67"/>
      <c r="I67"/>
      <c r="J67"/>
      <c r="K67"/>
      <c r="L67"/>
      <c r="M67"/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34">SUM(O67)*Q67</f>
        <v>0</v>
      </c>
      <c r="S67" s="211"/>
      <c r="T67" s="211"/>
      <c r="U67" s="251"/>
      <c r="V67" s="251"/>
      <c r="W67" s="251"/>
      <c r="X67" s="251"/>
      <c r="Y67" s="251"/>
    </row>
    <row r="68" spans="1:25" ht="21.6">
      <c r="B68"/>
      <c r="C68"/>
      <c r="D68"/>
      <c r="E68"/>
      <c r="F68"/>
      <c r="G68"/>
      <c r="H68"/>
      <c r="I68"/>
      <c r="J68"/>
      <c r="K68"/>
      <c r="L68"/>
      <c r="M68"/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34"/>
        <v>0</v>
      </c>
      <c r="S68" s="211"/>
      <c r="T68" s="211"/>
      <c r="U68" s="251"/>
      <c r="V68" s="251"/>
      <c r="W68" s="251"/>
      <c r="X68" s="251"/>
      <c r="Y68" s="251"/>
    </row>
    <row r="69" spans="1:25" ht="14.4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34"/>
        <v>0</v>
      </c>
      <c r="S69" s="211"/>
      <c r="T69" s="211"/>
      <c r="U69" s="251"/>
      <c r="V69" s="251"/>
      <c r="W69" s="251"/>
      <c r="X69" s="251"/>
      <c r="Y69" s="251"/>
    </row>
    <row r="70" spans="1:25" ht="14.4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  <c r="U70" s="251"/>
      <c r="V70" s="251"/>
      <c r="W70" s="251"/>
      <c r="X70" s="251"/>
      <c r="Y70" s="251"/>
    </row>
    <row r="71" spans="1:25" ht="14.4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  <c r="U71" s="252"/>
      <c r="V71" s="251"/>
      <c r="W71" s="251"/>
      <c r="X71" s="251"/>
      <c r="Y71" s="252"/>
    </row>
    <row r="72" spans="1:25" ht="14.4">
      <c r="D72" s="175"/>
      <c r="G72" s="169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  <c r="U72" s="337"/>
      <c r="V72" s="337"/>
      <c r="W72" s="251"/>
      <c r="X72" s="253"/>
      <c r="Y72" s="251"/>
    </row>
    <row r="73" spans="1:25" ht="14.4">
      <c r="D73" s="175"/>
      <c r="G73" s="169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  <c r="U73" s="251"/>
      <c r="V73" s="251"/>
      <c r="W73" s="251"/>
      <c r="X73" s="253"/>
      <c r="Y73" s="251"/>
    </row>
    <row r="74" spans="1:25" ht="14.4">
      <c r="D74" s="175"/>
      <c r="G74" s="169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  <c r="U74" s="252"/>
      <c r="V74" s="251"/>
      <c r="W74" s="251"/>
      <c r="X74" s="251"/>
      <c r="Y74" s="252"/>
    </row>
    <row r="75" spans="1:25" ht="14.4">
      <c r="D75" s="175"/>
      <c r="G75" s="169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  <c r="U75" s="251"/>
      <c r="V75" s="251"/>
      <c r="W75" s="251"/>
      <c r="X75" s="253"/>
      <c r="Y75" s="251"/>
    </row>
    <row r="76" spans="1:25" ht="14.4">
      <c r="D76" s="175"/>
      <c r="G76" s="169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252"/>
      <c r="V76" s="251"/>
      <c r="W76" s="251"/>
      <c r="X76" s="251"/>
      <c r="Y76" s="252"/>
    </row>
    <row r="77" spans="1:25" ht="14.4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  <c r="U77"/>
      <c r="V77"/>
      <c r="W77"/>
      <c r="X77"/>
      <c r="Y77"/>
    </row>
    <row r="78" spans="1:25" ht="15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  <c r="U78"/>
      <c r="V78"/>
      <c r="W78"/>
      <c r="X78"/>
      <c r="Y78"/>
    </row>
    <row r="79" spans="1:25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5" ht="13.8" thickTop="1"/>
    <row r="100" spans="3:7" hidden="1">
      <c r="D100" s="217"/>
      <c r="E100" s="49" t="s">
        <v>68</v>
      </c>
      <c r="G100" s="169"/>
    </row>
    <row r="101" spans="3:7" hidden="1">
      <c r="D101" s="217"/>
      <c r="E101" s="49" t="s">
        <v>69</v>
      </c>
      <c r="F101" s="49" t="s">
        <v>70</v>
      </c>
      <c r="G101" s="169"/>
    </row>
    <row r="102" spans="3:7" hidden="1">
      <c r="C102" s="49" t="s">
        <v>71</v>
      </c>
      <c r="D102" s="217"/>
      <c r="E102" s="230">
        <f>N59+R67+R68</f>
        <v>0</v>
      </c>
      <c r="F102" s="230"/>
      <c r="G102" s="169"/>
    </row>
    <row r="103" spans="3:7" hidden="1">
      <c r="C103" s="49" t="s">
        <v>72</v>
      </c>
      <c r="D103" s="217"/>
      <c r="E103" s="230">
        <f>R65</f>
        <v>0</v>
      </c>
      <c r="F103" s="230"/>
      <c r="G103" s="169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  <c r="G104" s="169"/>
    </row>
    <row r="105" spans="3:7" hidden="1">
      <c r="C105" s="49" t="s">
        <v>74</v>
      </c>
      <c r="D105" s="217"/>
      <c r="E105" s="230">
        <f>R64</f>
        <v>0</v>
      </c>
      <c r="F105" s="230">
        <v>0</v>
      </c>
      <c r="G105" s="169"/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  <c r="G106" s="169"/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  <c r="G107" s="169"/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  <c r="G108" s="169"/>
    </row>
    <row r="109" spans="3:7" hidden="1">
      <c r="C109" s="49" t="s">
        <v>78</v>
      </c>
      <c r="D109" s="217"/>
      <c r="E109" s="230">
        <f>F108</f>
        <v>0</v>
      </c>
      <c r="F109" s="230"/>
      <c r="G109" s="169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7">
    <mergeCell ref="U72:V72"/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  <ignoredErrors>
    <ignoredError sqref="P3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B9" sqref="B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51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  <c r="H1" s="173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  <c r="H2" s="173"/>
    </row>
    <row r="3" spans="1:22" ht="14.4" customHeight="1">
      <c r="A3" s="110" t="str" cm="1">
        <f t="array" aca="1" ref="A3" ca="1">CONCATENATE("SCOPE: ",MID(CELL("filename",A1),FIND("]",CELL("filename",A1))+1,255))</f>
        <v>SCOPE: Appliances</v>
      </c>
      <c r="B3" s="176"/>
      <c r="C3" s="110"/>
      <c r="D3" s="176"/>
      <c r="E3" s="110"/>
      <c r="F3" s="12"/>
      <c r="G3" s="173"/>
      <c r="H3" s="173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  <c r="H4" s="173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173"/>
      <c r="H5" s="173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174"/>
      <c r="H6" s="200"/>
      <c r="I6" s="297"/>
      <c r="J6" s="317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4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2.75" customHeight="1" thickTop="1">
      <c r="A9" s="226">
        <v>1</v>
      </c>
      <c r="B9" s="178"/>
      <c r="C9" s="112"/>
      <c r="D9" s="261"/>
      <c r="E9" s="112"/>
      <c r="F9" s="262"/>
      <c r="G9" s="171"/>
      <c r="H9" s="171"/>
      <c r="I9" s="307">
        <f>'summary sheet'!$E$2</f>
        <v>120</v>
      </c>
      <c r="J9" s="301">
        <f>SUM(I9*H9)*G9</f>
        <v>0</v>
      </c>
      <c r="K9" s="187">
        <v>0</v>
      </c>
      <c r="L9" s="187">
        <v>0</v>
      </c>
      <c r="M9" s="187">
        <v>0</v>
      </c>
      <c r="N9" s="54">
        <f>J9</f>
        <v>0</v>
      </c>
      <c r="O9" s="55">
        <f t="shared" ref="O9" si="0">SUM(G9)*K9</f>
        <v>0</v>
      </c>
      <c r="P9" s="55">
        <f t="shared" ref="P9" si="1">SUM(L9)</f>
        <v>0</v>
      </c>
      <c r="Q9" s="56">
        <f t="shared" ref="Q9:Q10" si="2">SUM(G9)*M9</f>
        <v>0</v>
      </c>
      <c r="R9" s="77">
        <f t="shared" ref="R9:R10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2">
        <f>'summary sheet'!$E$2</f>
        <v>120</v>
      </c>
      <c r="J10" s="301">
        <f t="shared" ref="J10:J58" si="5">SUM(I10*H10)*G10</f>
        <v>0</v>
      </c>
      <c r="K10" s="187">
        <v>0</v>
      </c>
      <c r="L10" s="187">
        <v>0</v>
      </c>
      <c r="M10" s="187">
        <v>0</v>
      </c>
      <c r="N10" s="54">
        <f t="shared" ref="N10:N58" si="6">J10</f>
        <v>0</v>
      </c>
      <c r="O10" s="55">
        <f t="shared" ref="O10:O58" si="7">SUM(G10)*K10</f>
        <v>0</v>
      </c>
      <c r="P10" s="55">
        <f t="shared" ref="P10:P58" si="8">SUM(L10)</f>
        <v>0</v>
      </c>
      <c r="Q10" s="56">
        <f t="shared" si="2"/>
        <v>0</v>
      </c>
      <c r="R10" s="77">
        <f t="shared" si="3"/>
        <v>0</v>
      </c>
      <c r="S10" s="247" t="e">
        <f t="shared" ref="S10:S58" si="9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2">
        <f>'summary sheet'!$E$2</f>
        <v>120</v>
      </c>
      <c r="J11" s="301">
        <f t="shared" si="5"/>
        <v>0</v>
      </c>
      <c r="K11" s="187">
        <v>0</v>
      </c>
      <c r="L11" s="187">
        <v>0</v>
      </c>
      <c r="M11" s="187">
        <v>0</v>
      </c>
      <c r="N11" s="54">
        <f t="shared" si="6"/>
        <v>0</v>
      </c>
      <c r="O11" s="55">
        <f t="shared" si="7"/>
        <v>0</v>
      </c>
      <c r="P11" s="55">
        <f t="shared" si="8"/>
        <v>0</v>
      </c>
      <c r="Q11" s="56">
        <f>SUM(G11)*M11</f>
        <v>0</v>
      </c>
      <c r="R11" s="77">
        <f>SUM(N11:Q11)</f>
        <v>0</v>
      </c>
      <c r="S11" s="247" t="e">
        <f t="shared" si="9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2">
        <f>'summary sheet'!$E$2</f>
        <v>120</v>
      </c>
      <c r="J12" s="301">
        <f t="shared" si="5"/>
        <v>0</v>
      </c>
      <c r="K12" s="187">
        <v>0</v>
      </c>
      <c r="L12" s="187">
        <v>0</v>
      </c>
      <c r="M12" s="187">
        <v>0</v>
      </c>
      <c r="N12" s="54">
        <f t="shared" si="6"/>
        <v>0</v>
      </c>
      <c r="O12" s="55">
        <f t="shared" si="7"/>
        <v>0</v>
      </c>
      <c r="P12" s="55">
        <f t="shared" si="8"/>
        <v>0</v>
      </c>
      <c r="Q12" s="56">
        <f t="shared" ref="Q12:Q58" si="10">SUM(G12)*M12</f>
        <v>0</v>
      </c>
      <c r="R12" s="77">
        <f t="shared" ref="R12:R58" si="11">SUM(N12:Q12)</f>
        <v>0</v>
      </c>
      <c r="S12" s="247" t="e">
        <f t="shared" si="9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2">
        <f>'summary sheet'!$E$2</f>
        <v>120</v>
      </c>
      <c r="J13" s="301">
        <f t="shared" si="5"/>
        <v>0</v>
      </c>
      <c r="K13" s="187">
        <v>0</v>
      </c>
      <c r="L13" s="187">
        <v>0</v>
      </c>
      <c r="M13" s="187">
        <v>0</v>
      </c>
      <c r="N13" s="54">
        <f t="shared" si="6"/>
        <v>0</v>
      </c>
      <c r="O13" s="55">
        <f t="shared" si="7"/>
        <v>0</v>
      </c>
      <c r="P13" s="55">
        <f t="shared" si="8"/>
        <v>0</v>
      </c>
      <c r="Q13" s="56">
        <f t="shared" si="10"/>
        <v>0</v>
      </c>
      <c r="R13" s="77">
        <f t="shared" si="11"/>
        <v>0</v>
      </c>
      <c r="S13" s="247" t="e">
        <f t="shared" si="9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2">
        <f>'summary sheet'!$E$2</f>
        <v>120</v>
      </c>
      <c r="J14" s="301">
        <f t="shared" si="5"/>
        <v>0</v>
      </c>
      <c r="K14" s="187">
        <v>0</v>
      </c>
      <c r="L14" s="187">
        <v>0</v>
      </c>
      <c r="M14" s="187">
        <v>0</v>
      </c>
      <c r="N14" s="54">
        <f t="shared" si="6"/>
        <v>0</v>
      </c>
      <c r="O14" s="55">
        <f t="shared" si="7"/>
        <v>0</v>
      </c>
      <c r="P14" s="55">
        <f t="shared" si="8"/>
        <v>0</v>
      </c>
      <c r="Q14" s="56">
        <f t="shared" si="10"/>
        <v>0</v>
      </c>
      <c r="R14" s="77">
        <f t="shared" si="11"/>
        <v>0</v>
      </c>
      <c r="S14" s="247" t="e">
        <f t="shared" si="9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2">
        <f>'summary sheet'!$E$2</f>
        <v>120</v>
      </c>
      <c r="J15" s="301">
        <f t="shared" si="5"/>
        <v>0</v>
      </c>
      <c r="K15" s="187">
        <v>0</v>
      </c>
      <c r="L15" s="187">
        <v>0</v>
      </c>
      <c r="M15" s="187">
        <v>0</v>
      </c>
      <c r="N15" s="54">
        <f t="shared" si="6"/>
        <v>0</v>
      </c>
      <c r="O15" s="55">
        <f t="shared" si="7"/>
        <v>0</v>
      </c>
      <c r="P15" s="55">
        <f t="shared" si="8"/>
        <v>0</v>
      </c>
      <c r="Q15" s="56">
        <f t="shared" si="10"/>
        <v>0</v>
      </c>
      <c r="R15" s="77">
        <f t="shared" si="11"/>
        <v>0</v>
      </c>
      <c r="S15" s="247" t="e">
        <f t="shared" si="9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2">
        <f>'summary sheet'!$E$2</f>
        <v>120</v>
      </c>
      <c r="J16" s="301">
        <f t="shared" si="5"/>
        <v>0</v>
      </c>
      <c r="K16" s="187">
        <v>0</v>
      </c>
      <c r="L16" s="187">
        <v>0</v>
      </c>
      <c r="M16" s="187">
        <v>0</v>
      </c>
      <c r="N16" s="54">
        <f t="shared" si="6"/>
        <v>0</v>
      </c>
      <c r="O16" s="55">
        <f t="shared" si="7"/>
        <v>0</v>
      </c>
      <c r="P16" s="55">
        <f t="shared" si="8"/>
        <v>0</v>
      </c>
      <c r="Q16" s="56">
        <f t="shared" si="10"/>
        <v>0</v>
      </c>
      <c r="R16" s="77">
        <f t="shared" si="11"/>
        <v>0</v>
      </c>
      <c r="S16" s="247" t="e">
        <f t="shared" si="9"/>
        <v>#DIV/0!</v>
      </c>
      <c r="T16" s="206" t="e">
        <f t="shared" si="4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2">
        <f>'summary sheet'!$E$2</f>
        <v>120</v>
      </c>
      <c r="J17" s="301">
        <f t="shared" si="5"/>
        <v>0</v>
      </c>
      <c r="K17" s="187">
        <v>0</v>
      </c>
      <c r="L17" s="187">
        <v>0</v>
      </c>
      <c r="M17" s="187">
        <v>0</v>
      </c>
      <c r="N17" s="54">
        <f t="shared" si="6"/>
        <v>0</v>
      </c>
      <c r="O17" s="55">
        <f t="shared" si="7"/>
        <v>0</v>
      </c>
      <c r="P17" s="55">
        <f t="shared" si="8"/>
        <v>0</v>
      </c>
      <c r="Q17" s="56">
        <f t="shared" si="10"/>
        <v>0</v>
      </c>
      <c r="R17" s="77">
        <f t="shared" si="11"/>
        <v>0</v>
      </c>
      <c r="S17" s="247" t="e">
        <f t="shared" si="9"/>
        <v>#DIV/0!</v>
      </c>
      <c r="T17" s="206" t="e">
        <f t="shared" si="4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2">
        <f>'summary sheet'!$E$2</f>
        <v>120</v>
      </c>
      <c r="J18" s="301">
        <f t="shared" si="5"/>
        <v>0</v>
      </c>
      <c r="K18" s="187">
        <v>0</v>
      </c>
      <c r="L18" s="187">
        <v>0</v>
      </c>
      <c r="M18" s="187">
        <v>0</v>
      </c>
      <c r="N18" s="54">
        <f t="shared" si="6"/>
        <v>0</v>
      </c>
      <c r="O18" s="55">
        <f t="shared" si="7"/>
        <v>0</v>
      </c>
      <c r="P18" s="55">
        <f t="shared" si="8"/>
        <v>0</v>
      </c>
      <c r="Q18" s="56">
        <f t="shared" si="10"/>
        <v>0</v>
      </c>
      <c r="R18" s="77">
        <f t="shared" si="11"/>
        <v>0</v>
      </c>
      <c r="S18" s="247" t="e">
        <f t="shared" si="9"/>
        <v>#DIV/0!</v>
      </c>
      <c r="T18" s="206" t="e">
        <f t="shared" si="4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2">
        <f>'summary sheet'!$E$2</f>
        <v>120</v>
      </c>
      <c r="J19" s="301">
        <f t="shared" si="5"/>
        <v>0</v>
      </c>
      <c r="K19" s="187">
        <v>0</v>
      </c>
      <c r="L19" s="187">
        <v>0</v>
      </c>
      <c r="M19" s="187">
        <v>0</v>
      </c>
      <c r="N19" s="54">
        <f t="shared" si="6"/>
        <v>0</v>
      </c>
      <c r="O19" s="55">
        <f t="shared" si="7"/>
        <v>0</v>
      </c>
      <c r="P19" s="55">
        <f t="shared" si="8"/>
        <v>0</v>
      </c>
      <c r="Q19" s="56">
        <f t="shared" si="10"/>
        <v>0</v>
      </c>
      <c r="R19" s="77">
        <f t="shared" si="11"/>
        <v>0</v>
      </c>
      <c r="S19" s="247" t="e">
        <f t="shared" si="9"/>
        <v>#DIV/0!</v>
      </c>
      <c r="T19" s="206" t="e">
        <f t="shared" si="4"/>
        <v>#DIV/0!</v>
      </c>
      <c r="U19" s="89"/>
    </row>
    <row r="20" spans="1:22">
      <c r="A20" s="226">
        <v>12</v>
      </c>
      <c r="B20" s="178"/>
      <c r="C20" s="112"/>
      <c r="D20" s="178"/>
      <c r="E20" s="112"/>
      <c r="F20" s="112"/>
      <c r="G20" s="171"/>
      <c r="H20" s="225"/>
      <c r="I20" s="302">
        <f>'summary sheet'!$E$2</f>
        <v>120</v>
      </c>
      <c r="J20" s="301">
        <f t="shared" si="5"/>
        <v>0</v>
      </c>
      <c r="K20" s="187">
        <v>0</v>
      </c>
      <c r="L20" s="187">
        <v>0</v>
      </c>
      <c r="M20" s="187">
        <v>0</v>
      </c>
      <c r="N20" s="54">
        <f t="shared" si="6"/>
        <v>0</v>
      </c>
      <c r="O20" s="55">
        <f t="shared" si="7"/>
        <v>0</v>
      </c>
      <c r="P20" s="55">
        <f t="shared" si="8"/>
        <v>0</v>
      </c>
      <c r="Q20" s="56">
        <f t="shared" si="10"/>
        <v>0</v>
      </c>
      <c r="R20" s="77">
        <f t="shared" si="11"/>
        <v>0</v>
      </c>
      <c r="S20" s="247" t="e">
        <f t="shared" si="9"/>
        <v>#DIV/0!</v>
      </c>
      <c r="T20" s="206" t="e">
        <f t="shared" si="4"/>
        <v>#DIV/0!</v>
      </c>
      <c r="U20" s="89"/>
    </row>
    <row r="21" spans="1:22">
      <c r="A21" s="226">
        <v>13</v>
      </c>
      <c r="B21" s="178"/>
      <c r="C21" s="112"/>
      <c r="D21" s="178"/>
      <c r="E21" s="112"/>
      <c r="F21" s="112"/>
      <c r="G21" s="171"/>
      <c r="H21" s="225"/>
      <c r="I21" s="302">
        <f>'summary sheet'!$E$2</f>
        <v>120</v>
      </c>
      <c r="J21" s="301">
        <f t="shared" si="5"/>
        <v>0</v>
      </c>
      <c r="K21" s="187">
        <v>0</v>
      </c>
      <c r="L21" s="187">
        <v>0</v>
      </c>
      <c r="M21" s="187">
        <v>0</v>
      </c>
      <c r="N21" s="54">
        <f t="shared" si="6"/>
        <v>0</v>
      </c>
      <c r="O21" s="55">
        <f t="shared" si="7"/>
        <v>0</v>
      </c>
      <c r="P21" s="55">
        <f t="shared" si="8"/>
        <v>0</v>
      </c>
      <c r="Q21" s="56">
        <f t="shared" si="10"/>
        <v>0</v>
      </c>
      <c r="R21" s="77">
        <f t="shared" si="11"/>
        <v>0</v>
      </c>
      <c r="S21" s="247" t="e">
        <f t="shared" si="9"/>
        <v>#DIV/0!</v>
      </c>
      <c r="T21" s="206" t="e">
        <f t="shared" si="4"/>
        <v>#DIV/0!</v>
      </c>
      <c r="U21" s="89"/>
    </row>
    <row r="22" spans="1:22">
      <c r="A22" s="226">
        <v>14</v>
      </c>
      <c r="B22" s="178"/>
      <c r="C22" s="112"/>
      <c r="D22" s="178"/>
      <c r="E22" s="112"/>
      <c r="F22" s="112"/>
      <c r="G22" s="171"/>
      <c r="H22" s="225"/>
      <c r="I22" s="302">
        <f>'summary sheet'!$E$2</f>
        <v>120</v>
      </c>
      <c r="J22" s="301">
        <f t="shared" si="5"/>
        <v>0</v>
      </c>
      <c r="K22" s="187">
        <v>0</v>
      </c>
      <c r="L22" s="187">
        <v>0</v>
      </c>
      <c r="M22" s="187">
        <v>0</v>
      </c>
      <c r="N22" s="54">
        <f t="shared" si="6"/>
        <v>0</v>
      </c>
      <c r="O22" s="55">
        <f t="shared" si="7"/>
        <v>0</v>
      </c>
      <c r="P22" s="55">
        <f t="shared" si="8"/>
        <v>0</v>
      </c>
      <c r="Q22" s="56">
        <f t="shared" si="10"/>
        <v>0</v>
      </c>
      <c r="R22" s="77">
        <f t="shared" si="11"/>
        <v>0</v>
      </c>
      <c r="S22" s="247" t="e">
        <f t="shared" si="9"/>
        <v>#DIV/0!</v>
      </c>
      <c r="T22" s="206" t="e">
        <f t="shared" si="4"/>
        <v>#DIV/0!</v>
      </c>
      <c r="U22" s="89"/>
    </row>
    <row r="23" spans="1:22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2">
        <f>'summary sheet'!$E$2</f>
        <v>120</v>
      </c>
      <c r="J23" s="301">
        <f t="shared" si="5"/>
        <v>0</v>
      </c>
      <c r="K23" s="187">
        <v>0</v>
      </c>
      <c r="L23" s="187">
        <v>0</v>
      </c>
      <c r="M23" s="187">
        <v>0</v>
      </c>
      <c r="N23" s="54">
        <f t="shared" si="6"/>
        <v>0</v>
      </c>
      <c r="O23" s="55">
        <f t="shared" si="7"/>
        <v>0</v>
      </c>
      <c r="P23" s="55">
        <f t="shared" si="8"/>
        <v>0</v>
      </c>
      <c r="Q23" s="56">
        <f t="shared" si="10"/>
        <v>0</v>
      </c>
      <c r="R23" s="77">
        <f t="shared" si="11"/>
        <v>0</v>
      </c>
      <c r="S23" s="247" t="e">
        <f t="shared" si="9"/>
        <v>#DIV/0!</v>
      </c>
      <c r="T23" s="206" t="e">
        <f t="shared" si="4"/>
        <v>#DIV/0!</v>
      </c>
      <c r="U23" s="89"/>
    </row>
    <row r="24" spans="1:22" hidden="1">
      <c r="A24" s="226">
        <v>16</v>
      </c>
      <c r="B24" s="178"/>
      <c r="C24" s="112"/>
      <c r="D24" s="178"/>
      <c r="E24" s="112"/>
      <c r="F24" s="112"/>
      <c r="G24" s="171"/>
      <c r="H24" s="225"/>
      <c r="I24" s="302">
        <f>'summary sheet'!$E$2</f>
        <v>120</v>
      </c>
      <c r="J24" s="301">
        <f t="shared" si="5"/>
        <v>0</v>
      </c>
      <c r="K24" s="187">
        <v>0</v>
      </c>
      <c r="L24" s="187">
        <v>0</v>
      </c>
      <c r="M24" s="187">
        <v>0</v>
      </c>
      <c r="N24" s="54">
        <f t="shared" si="6"/>
        <v>0</v>
      </c>
      <c r="O24" s="55">
        <f t="shared" si="7"/>
        <v>0</v>
      </c>
      <c r="P24" s="55">
        <f t="shared" si="8"/>
        <v>0</v>
      </c>
      <c r="Q24" s="56">
        <f t="shared" si="10"/>
        <v>0</v>
      </c>
      <c r="R24" s="77">
        <f t="shared" si="11"/>
        <v>0</v>
      </c>
      <c r="S24" s="247" t="e">
        <f t="shared" si="9"/>
        <v>#DIV/0!</v>
      </c>
      <c r="T24" s="206" t="e">
        <f t="shared" si="4"/>
        <v>#DIV/0!</v>
      </c>
      <c r="U24" s="89"/>
    </row>
    <row r="25" spans="1:22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2">
        <f>'summary sheet'!$E$2</f>
        <v>120</v>
      </c>
      <c r="J25" s="301">
        <f t="shared" si="5"/>
        <v>0</v>
      </c>
      <c r="K25" s="187">
        <v>0</v>
      </c>
      <c r="L25" s="187">
        <v>0</v>
      </c>
      <c r="M25" s="187">
        <v>0</v>
      </c>
      <c r="N25" s="54">
        <f t="shared" si="6"/>
        <v>0</v>
      </c>
      <c r="O25" s="55">
        <f t="shared" si="7"/>
        <v>0</v>
      </c>
      <c r="P25" s="55">
        <f t="shared" si="8"/>
        <v>0</v>
      </c>
      <c r="Q25" s="56">
        <f t="shared" si="10"/>
        <v>0</v>
      </c>
      <c r="R25" s="77">
        <f t="shared" si="11"/>
        <v>0</v>
      </c>
      <c r="S25" s="247" t="e">
        <f t="shared" si="9"/>
        <v>#DIV/0!</v>
      </c>
      <c r="T25" s="206" t="e">
        <f t="shared" si="4"/>
        <v>#DIV/0!</v>
      </c>
      <c r="U25" s="89"/>
    </row>
    <row r="26" spans="1:22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15">
        <f t="shared" ref="J26" si="12">SUM(H26*I26)*G26</f>
        <v>0</v>
      </c>
      <c r="K26" s="118">
        <v>0</v>
      </c>
      <c r="L26" s="118">
        <v>0</v>
      </c>
      <c r="M26" s="119">
        <v>0</v>
      </c>
      <c r="N26" s="54">
        <f t="shared" si="6"/>
        <v>0</v>
      </c>
      <c r="O26" s="55">
        <f t="shared" si="7"/>
        <v>0</v>
      </c>
      <c r="P26" s="55">
        <f t="shared" si="8"/>
        <v>0</v>
      </c>
      <c r="Q26" s="56">
        <f t="shared" ref="Q26" si="13">M26</f>
        <v>0</v>
      </c>
      <c r="R26" s="77">
        <f t="shared" si="11"/>
        <v>0</v>
      </c>
      <c r="S26" s="247" t="e">
        <f t="shared" si="9"/>
        <v>#DIV/0!</v>
      </c>
      <c r="T26" s="206" t="e">
        <f t="shared" si="4"/>
        <v>#DIV/0!</v>
      </c>
      <c r="U26" s="89"/>
    </row>
    <row r="27" spans="1:22" ht="12.75" hidden="1" customHeight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15">
        <f>SUM(H27*I27)*G27</f>
        <v>0</v>
      </c>
      <c r="K27" s="118">
        <v>0</v>
      </c>
      <c r="L27" s="118">
        <v>0</v>
      </c>
      <c r="M27" s="119">
        <v>0</v>
      </c>
      <c r="N27" s="54">
        <f>J27</f>
        <v>0</v>
      </c>
      <c r="O27" s="55">
        <f t="shared" si="7"/>
        <v>0</v>
      </c>
      <c r="P27" s="55">
        <f t="shared" si="8"/>
        <v>0</v>
      </c>
      <c r="Q27" s="56">
        <f>M27</f>
        <v>0</v>
      </c>
      <c r="R27" s="77">
        <f t="shared" si="11"/>
        <v>0</v>
      </c>
      <c r="S27" s="247" t="e">
        <f t="shared" si="9"/>
        <v>#DIV/0!</v>
      </c>
      <c r="T27" s="206" t="e">
        <f t="shared" si="4"/>
        <v>#DIV/0!</v>
      </c>
      <c r="U27" s="88"/>
      <c r="V27" s="51"/>
    </row>
    <row r="28" spans="1:22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15">
        <f>SUM(H28*I28)*G28</f>
        <v>0</v>
      </c>
      <c r="K28" s="118">
        <v>0</v>
      </c>
      <c r="L28" s="118">
        <v>0</v>
      </c>
      <c r="M28" s="119">
        <v>0</v>
      </c>
      <c r="N28" s="54">
        <f t="shared" ref="N28:N55" si="14">J28</f>
        <v>0</v>
      </c>
      <c r="O28" s="55">
        <f t="shared" si="7"/>
        <v>0</v>
      </c>
      <c r="P28" s="55">
        <f t="shared" si="8"/>
        <v>0</v>
      </c>
      <c r="Q28" s="56">
        <f t="shared" ref="Q28:Q55" si="15">M28</f>
        <v>0</v>
      </c>
      <c r="R28" s="77">
        <f t="shared" si="11"/>
        <v>0</v>
      </c>
      <c r="S28" s="247" t="e">
        <f t="shared" si="9"/>
        <v>#DIV/0!</v>
      </c>
      <c r="T28" s="206" t="e">
        <f t="shared" si="4"/>
        <v>#DIV/0!</v>
      </c>
      <c r="U28" s="89"/>
      <c r="V28" s="51"/>
    </row>
    <row r="29" spans="1:22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15">
        <f t="shared" ref="J29:J37" si="16">SUM(H29*I29)*G29</f>
        <v>0</v>
      </c>
      <c r="K29" s="118">
        <v>0</v>
      </c>
      <c r="L29" s="118">
        <v>0</v>
      </c>
      <c r="M29" s="119">
        <v>0</v>
      </c>
      <c r="N29" s="54">
        <f t="shared" ref="N29:N37" si="17">J29</f>
        <v>0</v>
      </c>
      <c r="O29" s="55">
        <f t="shared" ref="O29:O37" si="18">SUM(G29)*K29</f>
        <v>0</v>
      </c>
      <c r="P29" s="55">
        <f t="shared" ref="P29:P37" si="19">SUM(L29)</f>
        <v>0</v>
      </c>
      <c r="Q29" s="56">
        <f t="shared" ref="Q29:Q37" si="20">M29</f>
        <v>0</v>
      </c>
      <c r="R29" s="77">
        <f t="shared" ref="R29:R37" si="21">SUM(N29:Q29)</f>
        <v>0</v>
      </c>
      <c r="S29" s="247" t="e">
        <f t="shared" si="9"/>
        <v>#DIV/0!</v>
      </c>
      <c r="T29" s="206" t="e">
        <f t="shared" ref="T29:T37" si="22">S29/G29</f>
        <v>#DIV/0!</v>
      </c>
      <c r="U29" s="89"/>
    </row>
    <row r="30" spans="1:22" ht="13.2" hidden="1" customHeight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15">
        <f t="shared" si="16"/>
        <v>0</v>
      </c>
      <c r="K30" s="118">
        <v>0</v>
      </c>
      <c r="L30" s="118">
        <v>0</v>
      </c>
      <c r="M30" s="119">
        <v>0</v>
      </c>
      <c r="N30" s="54">
        <f t="shared" si="17"/>
        <v>0</v>
      </c>
      <c r="O30" s="55">
        <f t="shared" si="18"/>
        <v>0</v>
      </c>
      <c r="P30" s="55">
        <f t="shared" si="19"/>
        <v>0</v>
      </c>
      <c r="Q30" s="56">
        <f t="shared" si="20"/>
        <v>0</v>
      </c>
      <c r="R30" s="77">
        <f t="shared" si="21"/>
        <v>0</v>
      </c>
      <c r="S30" s="247" t="e">
        <f t="shared" si="9"/>
        <v>#DIV/0!</v>
      </c>
      <c r="T30" s="206" t="e">
        <f t="shared" si="22"/>
        <v>#DIV/0!</v>
      </c>
      <c r="U30" s="89"/>
    </row>
    <row r="31" spans="1:22" ht="13.2" hidden="1" customHeight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15">
        <f t="shared" si="16"/>
        <v>0</v>
      </c>
      <c r="K31" s="118">
        <v>0</v>
      </c>
      <c r="L31" s="118">
        <v>0</v>
      </c>
      <c r="M31" s="119">
        <v>0</v>
      </c>
      <c r="N31" s="54">
        <f t="shared" si="17"/>
        <v>0</v>
      </c>
      <c r="O31" s="55">
        <f t="shared" si="18"/>
        <v>0</v>
      </c>
      <c r="P31" s="55">
        <f t="shared" si="19"/>
        <v>0</v>
      </c>
      <c r="Q31" s="56">
        <f t="shared" si="20"/>
        <v>0</v>
      </c>
      <c r="R31" s="77">
        <f t="shared" si="21"/>
        <v>0</v>
      </c>
      <c r="S31" s="247" t="e">
        <f t="shared" si="9"/>
        <v>#DIV/0!</v>
      </c>
      <c r="T31" s="206" t="e">
        <f t="shared" si="22"/>
        <v>#DIV/0!</v>
      </c>
      <c r="U31" s="89"/>
    </row>
    <row r="32" spans="1:22" ht="13.2" hidden="1" customHeight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15">
        <f t="shared" si="16"/>
        <v>0</v>
      </c>
      <c r="K32" s="118">
        <v>0</v>
      </c>
      <c r="L32" s="118">
        <v>0</v>
      </c>
      <c r="M32" s="119">
        <v>0</v>
      </c>
      <c r="N32" s="54">
        <f t="shared" si="17"/>
        <v>0</v>
      </c>
      <c r="O32" s="55">
        <f t="shared" si="18"/>
        <v>0</v>
      </c>
      <c r="P32" s="55">
        <f t="shared" si="19"/>
        <v>0</v>
      </c>
      <c r="Q32" s="56">
        <f t="shared" si="20"/>
        <v>0</v>
      </c>
      <c r="R32" s="77">
        <f t="shared" si="21"/>
        <v>0</v>
      </c>
      <c r="S32" s="247" t="e">
        <f t="shared" si="9"/>
        <v>#DIV/0!</v>
      </c>
      <c r="T32" s="206" t="e">
        <f t="shared" si="22"/>
        <v>#DIV/0!</v>
      </c>
      <c r="U32" s="89"/>
    </row>
    <row r="33" spans="1:21" ht="13.2" hidden="1" customHeight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si="16"/>
        <v>0</v>
      </c>
      <c r="K33" s="118">
        <v>0</v>
      </c>
      <c r="L33" s="118">
        <v>0</v>
      </c>
      <c r="M33" s="119">
        <v>0</v>
      </c>
      <c r="N33" s="54">
        <f t="shared" si="17"/>
        <v>0</v>
      </c>
      <c r="O33" s="55">
        <f t="shared" si="18"/>
        <v>0</v>
      </c>
      <c r="P33" s="55">
        <f t="shared" si="19"/>
        <v>0</v>
      </c>
      <c r="Q33" s="56">
        <f t="shared" si="20"/>
        <v>0</v>
      </c>
      <c r="R33" s="77">
        <f t="shared" si="21"/>
        <v>0</v>
      </c>
      <c r="S33" s="247" t="e">
        <f t="shared" si="9"/>
        <v>#DIV/0!</v>
      </c>
      <c r="T33" s="206" t="e">
        <f t="shared" si="22"/>
        <v>#DIV/0!</v>
      </c>
      <c r="U33" s="89"/>
    </row>
    <row r="34" spans="1:21" hidden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 t="shared" si="16"/>
        <v>0</v>
      </c>
      <c r="K34" s="118">
        <v>0</v>
      </c>
      <c r="L34" s="118">
        <v>0</v>
      </c>
      <c r="M34" s="119">
        <v>0</v>
      </c>
      <c r="N34" s="54">
        <f t="shared" si="17"/>
        <v>0</v>
      </c>
      <c r="O34" s="55">
        <f t="shared" si="18"/>
        <v>0</v>
      </c>
      <c r="P34" s="55">
        <f t="shared" si="19"/>
        <v>0</v>
      </c>
      <c r="Q34" s="56">
        <f t="shared" si="20"/>
        <v>0</v>
      </c>
      <c r="R34" s="77">
        <f t="shared" si="21"/>
        <v>0</v>
      </c>
      <c r="S34" s="247" t="e">
        <f t="shared" si="9"/>
        <v>#DIV/0!</v>
      </c>
      <c r="T34" s="206" t="e">
        <f t="shared" si="22"/>
        <v>#DIV/0!</v>
      </c>
      <c r="U34" s="89"/>
    </row>
    <row r="35" spans="1:21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 t="shared" si="16"/>
        <v>0</v>
      </c>
      <c r="K35" s="118">
        <v>0</v>
      </c>
      <c r="L35" s="118">
        <v>0</v>
      </c>
      <c r="M35" s="119">
        <v>0</v>
      </c>
      <c r="N35" s="54">
        <f t="shared" si="17"/>
        <v>0</v>
      </c>
      <c r="O35" s="55">
        <f t="shared" si="18"/>
        <v>0</v>
      </c>
      <c r="P35" s="55">
        <f t="shared" si="19"/>
        <v>0</v>
      </c>
      <c r="Q35" s="56">
        <f t="shared" si="20"/>
        <v>0</v>
      </c>
      <c r="R35" s="77">
        <f t="shared" si="21"/>
        <v>0</v>
      </c>
      <c r="S35" s="247" t="e">
        <f t="shared" si="9"/>
        <v>#DIV/0!</v>
      </c>
      <c r="T35" s="206" t="e">
        <f t="shared" si="22"/>
        <v>#DIV/0!</v>
      </c>
      <c r="U35" s="89"/>
    </row>
    <row r="36" spans="1:21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si="16"/>
        <v>0</v>
      </c>
      <c r="K36" s="118">
        <v>0</v>
      </c>
      <c r="L36" s="118">
        <v>0</v>
      </c>
      <c r="M36" s="119">
        <v>0</v>
      </c>
      <c r="N36" s="54">
        <f t="shared" si="17"/>
        <v>0</v>
      </c>
      <c r="O36" s="55">
        <f t="shared" si="18"/>
        <v>0</v>
      </c>
      <c r="P36" s="55">
        <f t="shared" si="19"/>
        <v>0</v>
      </c>
      <c r="Q36" s="56">
        <f t="shared" si="20"/>
        <v>0</v>
      </c>
      <c r="R36" s="77">
        <f t="shared" si="21"/>
        <v>0</v>
      </c>
      <c r="S36" s="247" t="e">
        <f t="shared" si="9"/>
        <v>#DIV/0!</v>
      </c>
      <c r="T36" s="206" t="e">
        <f t="shared" si="22"/>
        <v>#DIV/0!</v>
      </c>
      <c r="U36" s="89"/>
    </row>
    <row r="37" spans="1:21" hidden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6"/>
        <v>0</v>
      </c>
      <c r="K37" s="118">
        <v>0</v>
      </c>
      <c r="L37" s="118">
        <v>0</v>
      </c>
      <c r="M37" s="119">
        <v>0</v>
      </c>
      <c r="N37" s="54">
        <f t="shared" si="17"/>
        <v>0</v>
      </c>
      <c r="O37" s="55">
        <f t="shared" si="18"/>
        <v>0</v>
      </c>
      <c r="P37" s="55">
        <f t="shared" si="19"/>
        <v>0</v>
      </c>
      <c r="Q37" s="56">
        <f t="shared" si="20"/>
        <v>0</v>
      </c>
      <c r="R37" s="77">
        <f t="shared" si="21"/>
        <v>0</v>
      </c>
      <c r="S37" s="247" t="e">
        <f t="shared" si="9"/>
        <v>#DIV/0!</v>
      </c>
      <c r="T37" s="206" t="e">
        <f t="shared" si="22"/>
        <v>#DIV/0!</v>
      </c>
      <c r="U37" s="89"/>
    </row>
    <row r="38" spans="1:21" hidden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ref="J38:J55" si="23">SUM(H38*I38)*G38</f>
        <v>0</v>
      </c>
      <c r="K38" s="118">
        <v>0</v>
      </c>
      <c r="L38" s="118">
        <v>0</v>
      </c>
      <c r="M38" s="119">
        <v>0</v>
      </c>
      <c r="N38" s="54">
        <f t="shared" si="14"/>
        <v>0</v>
      </c>
      <c r="O38" s="55">
        <f t="shared" si="7"/>
        <v>0</v>
      </c>
      <c r="P38" s="55">
        <f t="shared" si="8"/>
        <v>0</v>
      </c>
      <c r="Q38" s="56">
        <f t="shared" si="15"/>
        <v>0</v>
      </c>
      <c r="R38" s="77">
        <f t="shared" si="11"/>
        <v>0</v>
      </c>
      <c r="S38" s="247" t="e">
        <f t="shared" si="9"/>
        <v>#DIV/0!</v>
      </c>
      <c r="T38" s="206" t="e">
        <f t="shared" si="4"/>
        <v>#DIV/0!</v>
      </c>
      <c r="U38" s="89"/>
    </row>
    <row r="39" spans="1:21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23"/>
        <v>0</v>
      </c>
      <c r="K39" s="118">
        <v>0</v>
      </c>
      <c r="L39" s="118">
        <v>0</v>
      </c>
      <c r="M39" s="119">
        <v>0</v>
      </c>
      <c r="N39" s="54">
        <f t="shared" si="14"/>
        <v>0</v>
      </c>
      <c r="O39" s="55">
        <f t="shared" si="7"/>
        <v>0</v>
      </c>
      <c r="P39" s="55">
        <f t="shared" si="8"/>
        <v>0</v>
      </c>
      <c r="Q39" s="56">
        <f t="shared" si="15"/>
        <v>0</v>
      </c>
      <c r="R39" s="77">
        <f t="shared" si="11"/>
        <v>0</v>
      </c>
      <c r="S39" s="247" t="e">
        <f t="shared" si="9"/>
        <v>#DIV/0!</v>
      </c>
      <c r="T39" s="206" t="e">
        <f t="shared" si="4"/>
        <v>#DIV/0!</v>
      </c>
      <c r="U39" s="89"/>
    </row>
    <row r="40" spans="1:21" ht="13.2" hidden="1" customHeight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23"/>
        <v>0</v>
      </c>
      <c r="K40" s="118">
        <v>0</v>
      </c>
      <c r="L40" s="118">
        <v>0</v>
      </c>
      <c r="M40" s="119">
        <v>0</v>
      </c>
      <c r="N40" s="54">
        <f t="shared" si="14"/>
        <v>0</v>
      </c>
      <c r="O40" s="55">
        <f t="shared" si="7"/>
        <v>0</v>
      </c>
      <c r="P40" s="55">
        <f t="shared" si="8"/>
        <v>0</v>
      </c>
      <c r="Q40" s="56">
        <f t="shared" si="15"/>
        <v>0</v>
      </c>
      <c r="R40" s="77">
        <f t="shared" si="11"/>
        <v>0</v>
      </c>
      <c r="S40" s="247" t="e">
        <f t="shared" si="9"/>
        <v>#DIV/0!</v>
      </c>
      <c r="T40" s="206" t="e">
        <f t="shared" si="4"/>
        <v>#DIV/0!</v>
      </c>
      <c r="U40" s="89"/>
    </row>
    <row r="41" spans="1:21" ht="13.2" hidden="1" customHeight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23"/>
        <v>0</v>
      </c>
      <c r="K41" s="118">
        <v>0</v>
      </c>
      <c r="L41" s="118">
        <v>0</v>
      </c>
      <c r="M41" s="119">
        <v>0</v>
      </c>
      <c r="N41" s="54">
        <f t="shared" si="14"/>
        <v>0</v>
      </c>
      <c r="O41" s="55">
        <f t="shared" si="7"/>
        <v>0</v>
      </c>
      <c r="P41" s="55">
        <f t="shared" si="8"/>
        <v>0</v>
      </c>
      <c r="Q41" s="56">
        <f t="shared" si="15"/>
        <v>0</v>
      </c>
      <c r="R41" s="77">
        <f t="shared" si="11"/>
        <v>0</v>
      </c>
      <c r="S41" s="247" t="e">
        <f t="shared" si="9"/>
        <v>#DIV/0!</v>
      </c>
      <c r="T41" s="206" t="e">
        <f t="shared" si="4"/>
        <v>#DIV/0!</v>
      </c>
      <c r="U41" s="89"/>
    </row>
    <row r="42" spans="1:21" ht="13.2" hidden="1" customHeight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23"/>
        <v>0</v>
      </c>
      <c r="K42" s="118">
        <v>0</v>
      </c>
      <c r="L42" s="118">
        <v>0</v>
      </c>
      <c r="M42" s="119">
        <v>0</v>
      </c>
      <c r="N42" s="54">
        <f t="shared" si="14"/>
        <v>0</v>
      </c>
      <c r="O42" s="55">
        <f t="shared" si="7"/>
        <v>0</v>
      </c>
      <c r="P42" s="55">
        <f t="shared" si="8"/>
        <v>0</v>
      </c>
      <c r="Q42" s="56">
        <f t="shared" si="15"/>
        <v>0</v>
      </c>
      <c r="R42" s="77">
        <f t="shared" si="11"/>
        <v>0</v>
      </c>
      <c r="S42" s="247" t="e">
        <f t="shared" si="9"/>
        <v>#DIV/0!</v>
      </c>
      <c r="T42" s="206" t="e">
        <f t="shared" si="4"/>
        <v>#DIV/0!</v>
      </c>
      <c r="U42" s="89"/>
    </row>
    <row r="43" spans="1:21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23"/>
        <v>0</v>
      </c>
      <c r="K43" s="118">
        <v>0</v>
      </c>
      <c r="L43" s="118">
        <v>0</v>
      </c>
      <c r="M43" s="119">
        <v>0</v>
      </c>
      <c r="N43" s="54">
        <f t="shared" si="14"/>
        <v>0</v>
      </c>
      <c r="O43" s="55">
        <f t="shared" si="7"/>
        <v>0</v>
      </c>
      <c r="P43" s="55">
        <f t="shared" si="8"/>
        <v>0</v>
      </c>
      <c r="Q43" s="56">
        <f t="shared" si="15"/>
        <v>0</v>
      </c>
      <c r="R43" s="77">
        <f t="shared" si="11"/>
        <v>0</v>
      </c>
      <c r="S43" s="247" t="e">
        <f t="shared" si="9"/>
        <v>#DIV/0!</v>
      </c>
      <c r="T43" s="206" t="e">
        <f t="shared" si="4"/>
        <v>#DIV/0!</v>
      </c>
      <c r="U43" s="89"/>
    </row>
    <row r="44" spans="1:21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23"/>
        <v>0</v>
      </c>
      <c r="K44" s="118">
        <v>0</v>
      </c>
      <c r="L44" s="118">
        <v>0</v>
      </c>
      <c r="M44" s="119">
        <v>0</v>
      </c>
      <c r="N44" s="54">
        <f t="shared" si="14"/>
        <v>0</v>
      </c>
      <c r="O44" s="55">
        <f t="shared" si="7"/>
        <v>0</v>
      </c>
      <c r="P44" s="55">
        <f t="shared" si="8"/>
        <v>0</v>
      </c>
      <c r="Q44" s="56">
        <f t="shared" si="15"/>
        <v>0</v>
      </c>
      <c r="R44" s="77">
        <f t="shared" si="11"/>
        <v>0</v>
      </c>
      <c r="S44" s="247" t="e">
        <f t="shared" si="9"/>
        <v>#DIV/0!</v>
      </c>
      <c r="T44" s="206" t="e">
        <f t="shared" si="4"/>
        <v>#DIV/0!</v>
      </c>
      <c r="U44" s="89"/>
    </row>
    <row r="45" spans="1:21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23"/>
        <v>0</v>
      </c>
      <c r="K45" s="118">
        <v>0</v>
      </c>
      <c r="L45" s="118">
        <v>0</v>
      </c>
      <c r="M45" s="119">
        <v>0</v>
      </c>
      <c r="N45" s="54">
        <f t="shared" si="14"/>
        <v>0</v>
      </c>
      <c r="O45" s="55">
        <f t="shared" si="7"/>
        <v>0</v>
      </c>
      <c r="P45" s="55">
        <f t="shared" si="8"/>
        <v>0</v>
      </c>
      <c r="Q45" s="56">
        <f t="shared" si="15"/>
        <v>0</v>
      </c>
      <c r="R45" s="77">
        <f t="shared" si="11"/>
        <v>0</v>
      </c>
      <c r="S45" s="247" t="e">
        <f t="shared" si="9"/>
        <v>#DIV/0!</v>
      </c>
      <c r="T45" s="206" t="e">
        <f t="shared" si="4"/>
        <v>#DIV/0!</v>
      </c>
      <c r="U45" s="89"/>
    </row>
    <row r="46" spans="1:21" hidden="1">
      <c r="A46" s="226">
        <v>38</v>
      </c>
      <c r="B46" s="178"/>
      <c r="C46" s="112"/>
      <c r="D46" s="178"/>
      <c r="E46" s="112"/>
      <c r="F46" s="112"/>
      <c r="G46" s="171"/>
      <c r="H46" s="225"/>
      <c r="I46" s="302">
        <f>'summary sheet'!$E$2</f>
        <v>120</v>
      </c>
      <c r="J46" s="315">
        <f t="shared" si="23"/>
        <v>0</v>
      </c>
      <c r="K46" s="118">
        <v>0</v>
      </c>
      <c r="L46" s="118">
        <v>0</v>
      </c>
      <c r="M46" s="119">
        <v>0</v>
      </c>
      <c r="N46" s="54">
        <f t="shared" si="14"/>
        <v>0</v>
      </c>
      <c r="O46" s="55">
        <f t="shared" si="7"/>
        <v>0</v>
      </c>
      <c r="P46" s="55">
        <f t="shared" si="8"/>
        <v>0</v>
      </c>
      <c r="Q46" s="56">
        <f t="shared" si="15"/>
        <v>0</v>
      </c>
      <c r="R46" s="77">
        <f t="shared" si="11"/>
        <v>0</v>
      </c>
      <c r="S46" s="247" t="e">
        <f t="shared" si="9"/>
        <v>#DIV/0!</v>
      </c>
      <c r="T46" s="206" t="e">
        <f t="shared" si="4"/>
        <v>#DIV/0!</v>
      </c>
      <c r="U46" s="89"/>
    </row>
    <row r="47" spans="1:21" hidden="1">
      <c r="A47" s="226">
        <v>39</v>
      </c>
      <c r="B47" s="178"/>
      <c r="C47" s="112"/>
      <c r="D47" s="178"/>
      <c r="E47" s="112"/>
      <c r="F47" s="112"/>
      <c r="G47" s="171"/>
      <c r="H47" s="225"/>
      <c r="I47" s="302">
        <f>'summary sheet'!$E$2</f>
        <v>120</v>
      </c>
      <c r="J47" s="315">
        <f t="shared" si="23"/>
        <v>0</v>
      </c>
      <c r="K47" s="118">
        <v>0</v>
      </c>
      <c r="L47" s="118">
        <v>0</v>
      </c>
      <c r="M47" s="119">
        <v>0</v>
      </c>
      <c r="N47" s="54">
        <f t="shared" si="14"/>
        <v>0</v>
      </c>
      <c r="O47" s="55">
        <f t="shared" si="7"/>
        <v>0</v>
      </c>
      <c r="P47" s="55">
        <f t="shared" si="8"/>
        <v>0</v>
      </c>
      <c r="Q47" s="56">
        <f t="shared" si="15"/>
        <v>0</v>
      </c>
      <c r="R47" s="77">
        <f t="shared" si="11"/>
        <v>0</v>
      </c>
      <c r="S47" s="247" t="e">
        <f t="shared" si="9"/>
        <v>#DIV/0!</v>
      </c>
      <c r="T47" s="206" t="e">
        <f t="shared" si="4"/>
        <v>#DIV/0!</v>
      </c>
      <c r="U47" s="89"/>
    </row>
    <row r="48" spans="1:21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2">
        <f>'summary sheet'!$E$2</f>
        <v>120</v>
      </c>
      <c r="J48" s="315">
        <f t="shared" si="23"/>
        <v>0</v>
      </c>
      <c r="K48" s="118">
        <v>0</v>
      </c>
      <c r="L48" s="118">
        <v>0</v>
      </c>
      <c r="M48" s="119">
        <v>0</v>
      </c>
      <c r="N48" s="54">
        <f t="shared" si="14"/>
        <v>0</v>
      </c>
      <c r="O48" s="55">
        <f t="shared" si="7"/>
        <v>0</v>
      </c>
      <c r="P48" s="55">
        <f t="shared" si="8"/>
        <v>0</v>
      </c>
      <c r="Q48" s="56">
        <f t="shared" si="15"/>
        <v>0</v>
      </c>
      <c r="R48" s="77">
        <f t="shared" si="11"/>
        <v>0</v>
      </c>
      <c r="S48" s="247" t="e">
        <f t="shared" si="9"/>
        <v>#DIV/0!</v>
      </c>
      <c r="T48" s="206" t="e">
        <f t="shared" si="4"/>
        <v>#DIV/0!</v>
      </c>
      <c r="U48" s="89"/>
    </row>
    <row r="49" spans="1:21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2">
        <f>'summary sheet'!$E$2</f>
        <v>120</v>
      </c>
      <c r="J49" s="315">
        <f t="shared" si="23"/>
        <v>0</v>
      </c>
      <c r="K49" s="118">
        <v>0</v>
      </c>
      <c r="L49" s="118">
        <v>0</v>
      </c>
      <c r="M49" s="119">
        <v>0</v>
      </c>
      <c r="N49" s="54">
        <f t="shared" si="14"/>
        <v>0</v>
      </c>
      <c r="O49" s="55">
        <f t="shared" si="7"/>
        <v>0</v>
      </c>
      <c r="P49" s="55">
        <f t="shared" si="8"/>
        <v>0</v>
      </c>
      <c r="Q49" s="56">
        <f t="shared" si="15"/>
        <v>0</v>
      </c>
      <c r="R49" s="77">
        <f t="shared" si="11"/>
        <v>0</v>
      </c>
      <c r="S49" s="247" t="e">
        <f t="shared" si="9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2">
        <f>'summary sheet'!$E$2</f>
        <v>120</v>
      </c>
      <c r="J50" s="315">
        <f t="shared" si="23"/>
        <v>0</v>
      </c>
      <c r="K50" s="118">
        <v>0</v>
      </c>
      <c r="L50" s="118">
        <v>0</v>
      </c>
      <c r="M50" s="119">
        <v>0</v>
      </c>
      <c r="N50" s="54">
        <f t="shared" si="14"/>
        <v>0</v>
      </c>
      <c r="O50" s="55">
        <f t="shared" si="7"/>
        <v>0</v>
      </c>
      <c r="P50" s="55">
        <f t="shared" si="8"/>
        <v>0</v>
      </c>
      <c r="Q50" s="56">
        <f t="shared" si="15"/>
        <v>0</v>
      </c>
      <c r="R50" s="77">
        <f t="shared" si="11"/>
        <v>0</v>
      </c>
      <c r="S50" s="247" t="e">
        <f t="shared" si="9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2">
        <f>'summary sheet'!$E$2</f>
        <v>120</v>
      </c>
      <c r="J51" s="315">
        <f t="shared" si="23"/>
        <v>0</v>
      </c>
      <c r="K51" s="118">
        <v>0</v>
      </c>
      <c r="L51" s="118">
        <v>0</v>
      </c>
      <c r="M51" s="119">
        <v>0</v>
      </c>
      <c r="N51" s="54">
        <f t="shared" si="14"/>
        <v>0</v>
      </c>
      <c r="O51" s="55">
        <f t="shared" si="7"/>
        <v>0</v>
      </c>
      <c r="P51" s="55">
        <f t="shared" si="8"/>
        <v>0</v>
      </c>
      <c r="Q51" s="56">
        <f t="shared" si="15"/>
        <v>0</v>
      </c>
      <c r="R51" s="77">
        <f t="shared" si="11"/>
        <v>0</v>
      </c>
      <c r="S51" s="247" t="e">
        <f t="shared" si="9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2">
        <f>'summary sheet'!$E$2</f>
        <v>120</v>
      </c>
      <c r="J52" s="315">
        <f t="shared" si="23"/>
        <v>0</v>
      </c>
      <c r="K52" s="118">
        <v>0</v>
      </c>
      <c r="L52" s="118">
        <v>0</v>
      </c>
      <c r="M52" s="119">
        <v>0</v>
      </c>
      <c r="N52" s="54">
        <f t="shared" si="14"/>
        <v>0</v>
      </c>
      <c r="O52" s="55">
        <f t="shared" si="7"/>
        <v>0</v>
      </c>
      <c r="P52" s="55">
        <f t="shared" si="8"/>
        <v>0</v>
      </c>
      <c r="Q52" s="56">
        <f t="shared" si="15"/>
        <v>0</v>
      </c>
      <c r="R52" s="77">
        <f t="shared" si="11"/>
        <v>0</v>
      </c>
      <c r="S52" s="247" t="e">
        <f t="shared" si="9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2">
        <f>'summary sheet'!$E$2</f>
        <v>120</v>
      </c>
      <c r="J53" s="315">
        <f t="shared" si="23"/>
        <v>0</v>
      </c>
      <c r="K53" s="118">
        <v>0</v>
      </c>
      <c r="L53" s="118">
        <v>0</v>
      </c>
      <c r="M53" s="119">
        <v>0</v>
      </c>
      <c r="N53" s="54">
        <f t="shared" si="14"/>
        <v>0</v>
      </c>
      <c r="O53" s="55">
        <f t="shared" si="7"/>
        <v>0</v>
      </c>
      <c r="P53" s="55">
        <f t="shared" si="8"/>
        <v>0</v>
      </c>
      <c r="Q53" s="56">
        <f t="shared" si="15"/>
        <v>0</v>
      </c>
      <c r="R53" s="77">
        <f t="shared" si="11"/>
        <v>0</v>
      </c>
      <c r="S53" s="247" t="e">
        <f t="shared" si="9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2">
        <f>'summary sheet'!$E$2</f>
        <v>120</v>
      </c>
      <c r="J54" s="315">
        <f t="shared" si="23"/>
        <v>0</v>
      </c>
      <c r="K54" s="118">
        <v>0</v>
      </c>
      <c r="L54" s="118">
        <v>0</v>
      </c>
      <c r="M54" s="119">
        <v>0</v>
      </c>
      <c r="N54" s="54">
        <f t="shared" si="14"/>
        <v>0</v>
      </c>
      <c r="O54" s="55">
        <f t="shared" si="7"/>
        <v>0</v>
      </c>
      <c r="P54" s="55">
        <f t="shared" si="8"/>
        <v>0</v>
      </c>
      <c r="Q54" s="56">
        <f t="shared" si="15"/>
        <v>0</v>
      </c>
      <c r="R54" s="77">
        <f t="shared" si="11"/>
        <v>0</v>
      </c>
      <c r="S54" s="247" t="e">
        <f t="shared" si="9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2">
        <f>'summary sheet'!$E$2</f>
        <v>120</v>
      </c>
      <c r="J55" s="315">
        <f t="shared" si="23"/>
        <v>0</v>
      </c>
      <c r="K55" s="118">
        <v>0</v>
      </c>
      <c r="L55" s="118">
        <v>0</v>
      </c>
      <c r="M55" s="119">
        <v>0</v>
      </c>
      <c r="N55" s="54">
        <f t="shared" si="14"/>
        <v>0</v>
      </c>
      <c r="O55" s="55">
        <f t="shared" si="7"/>
        <v>0</v>
      </c>
      <c r="P55" s="55">
        <f t="shared" si="8"/>
        <v>0</v>
      </c>
      <c r="Q55" s="56">
        <f t="shared" si="15"/>
        <v>0</v>
      </c>
      <c r="R55" s="77">
        <f t="shared" si="11"/>
        <v>0</v>
      </c>
      <c r="S55" s="247" t="e">
        <f t="shared" si="9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2">
        <f>'summary sheet'!$E$2</f>
        <v>120</v>
      </c>
      <c r="J56" s="301">
        <f t="shared" si="5"/>
        <v>0</v>
      </c>
      <c r="K56" s="187">
        <v>0</v>
      </c>
      <c r="L56" s="187">
        <v>0</v>
      </c>
      <c r="M56" s="187">
        <v>0</v>
      </c>
      <c r="N56" s="54">
        <f t="shared" si="6"/>
        <v>0</v>
      </c>
      <c r="O56" s="55">
        <f t="shared" si="7"/>
        <v>0</v>
      </c>
      <c r="P56" s="55">
        <f t="shared" si="8"/>
        <v>0</v>
      </c>
      <c r="Q56" s="56">
        <f t="shared" si="10"/>
        <v>0</v>
      </c>
      <c r="R56" s="77">
        <f t="shared" si="11"/>
        <v>0</v>
      </c>
      <c r="S56" s="247" t="e">
        <f t="shared" si="9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2">
        <f>'summary sheet'!$E$2</f>
        <v>120</v>
      </c>
      <c r="J57" s="301">
        <f t="shared" si="5"/>
        <v>0</v>
      </c>
      <c r="K57" s="187">
        <v>0</v>
      </c>
      <c r="L57" s="187">
        <v>0</v>
      </c>
      <c r="M57" s="187">
        <v>0</v>
      </c>
      <c r="N57" s="54">
        <f t="shared" si="6"/>
        <v>0</v>
      </c>
      <c r="O57" s="55">
        <f t="shared" si="7"/>
        <v>0</v>
      </c>
      <c r="P57" s="55">
        <f t="shared" si="8"/>
        <v>0</v>
      </c>
      <c r="Q57" s="56">
        <f t="shared" si="10"/>
        <v>0</v>
      </c>
      <c r="R57" s="77">
        <f t="shared" si="11"/>
        <v>0</v>
      </c>
      <c r="S57" s="247" t="e">
        <f t="shared" si="9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2">
        <f>'summary sheet'!$E$2</f>
        <v>120</v>
      </c>
      <c r="J58" s="301">
        <f t="shared" si="5"/>
        <v>0</v>
      </c>
      <c r="K58" s="187">
        <v>0</v>
      </c>
      <c r="L58" s="187">
        <v>0</v>
      </c>
      <c r="M58" s="187">
        <v>0</v>
      </c>
      <c r="N58" s="54">
        <f t="shared" si="6"/>
        <v>0</v>
      </c>
      <c r="O58" s="55">
        <f t="shared" si="7"/>
        <v>0</v>
      </c>
      <c r="P58" s="55">
        <f t="shared" si="8"/>
        <v>0</v>
      </c>
      <c r="Q58" s="56">
        <f t="shared" si="10"/>
        <v>0</v>
      </c>
      <c r="R58" s="77">
        <f t="shared" si="11"/>
        <v>0</v>
      </c>
      <c r="S58" s="247" t="e">
        <f t="shared" si="9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197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197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197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24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197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197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5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5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5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paperSize="17" scale="78" fitToHeight="2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49" customWidth="1"/>
    <col min="10" max="13" width="10.6640625" style="49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</row>
    <row r="3" spans="1:22" ht="14.4" customHeight="1">
      <c r="A3" s="110" t="str" cm="1">
        <f t="array" aca="1" ref="A3" ca="1">CONCATENATE("SCOPE: ",MID(CELL("filename",A1),FIND("]",CELL("filename",A1))+1,255))</f>
        <v>SCOPE: Lockers</v>
      </c>
      <c r="B3" s="176"/>
      <c r="C3" s="110"/>
      <c r="D3" s="176"/>
      <c r="E3" s="110"/>
      <c r="F3" s="12"/>
      <c r="G3" s="173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173"/>
      <c r="M5" s="50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174"/>
      <c r="H6" s="170"/>
      <c r="I6" s="296"/>
      <c r="J6" s="310" t="s">
        <v>20</v>
      </c>
      <c r="K6" s="8"/>
      <c r="L6" s="8"/>
      <c r="M6" s="9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21" t="s">
        <v>51</v>
      </c>
      <c r="E7" s="5" t="s">
        <v>2</v>
      </c>
      <c r="F7" s="25" t="s">
        <v>13</v>
      </c>
      <c r="G7" s="168" t="s">
        <v>50</v>
      </c>
      <c r="H7" s="167" t="s">
        <v>48</v>
      </c>
      <c r="I7" s="306" t="s">
        <v>49</v>
      </c>
      <c r="J7" s="311" t="s">
        <v>5</v>
      </c>
      <c r="K7" s="10" t="s">
        <v>6</v>
      </c>
      <c r="L7" s="10" t="s">
        <v>10</v>
      </c>
      <c r="M7" s="11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5"/>
      <c r="I8" s="35"/>
      <c r="J8" s="312"/>
      <c r="K8" s="17"/>
      <c r="L8" s="16"/>
      <c r="M8" s="18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2.75" customHeight="1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01">
        <f t="shared" ref="J9:J58" si="0">SUM(I9*H9)*G9</f>
        <v>0</v>
      </c>
      <c r="K9" s="187">
        <v>0</v>
      </c>
      <c r="L9" s="187">
        <v>0</v>
      </c>
      <c r="M9" s="187">
        <v>0</v>
      </c>
      <c r="N9" s="54">
        <f t="shared" ref="N9:N58" si="1">J9</f>
        <v>0</v>
      </c>
      <c r="O9" s="55">
        <f t="shared" ref="O9" si="2">SUM(G9)*K9</f>
        <v>0</v>
      </c>
      <c r="P9" s="55">
        <f t="shared" ref="P9" si="3">SUM(L9)</f>
        <v>0</v>
      </c>
      <c r="Q9" s="56">
        <f t="shared" ref="Q9" si="4">SUM(G9)*M9</f>
        <v>0</v>
      </c>
      <c r="R9" s="77">
        <f t="shared" ref="R9" si="5">SUM(N9:Q9)</f>
        <v>0</v>
      </c>
      <c r="S9" s="247" t="e">
        <f>(R9/($R$61-$R$60))*SUM($R$64:$R$69,$R$71:$R$72,$R$74,$R$76,$R$78,$R$60)+R9</f>
        <v>#DIV/0!</v>
      </c>
      <c r="T9" s="206" t="e">
        <f t="shared" ref="T9:T58" si="6">S9/G9</f>
        <v>#DIV/0!</v>
      </c>
      <c r="U9" s="89"/>
      <c r="V9" s="51"/>
    </row>
    <row r="10" spans="1:22" ht="12.75" customHeight="1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01">
        <f t="shared" si="0"/>
        <v>0</v>
      </c>
      <c r="K10" s="187">
        <v>0</v>
      </c>
      <c r="L10" s="187">
        <v>0</v>
      </c>
      <c r="M10" s="187">
        <v>0</v>
      </c>
      <c r="N10" s="54">
        <f t="shared" si="1"/>
        <v>0</v>
      </c>
      <c r="O10" s="55">
        <f t="shared" ref="O10:O58" si="7">SUM(G10)*K10</f>
        <v>0</v>
      </c>
      <c r="P10" s="55">
        <f t="shared" ref="P10:P58" si="8">SUM(L10)</f>
        <v>0</v>
      </c>
      <c r="Q10" s="56">
        <f t="shared" ref="Q10:Q58" si="9">SUM(G10)*M10</f>
        <v>0</v>
      </c>
      <c r="R10" s="77">
        <f t="shared" ref="R10:R58" si="10">SUM(N10:Q10)</f>
        <v>0</v>
      </c>
      <c r="S10" s="247" t="e">
        <f t="shared" ref="S10:S58" si="11">(R10/($R$61-$R$60))*SUM($R$64:$R$69,$R$71:$R$72,$R$74,$R$76,$R$78,$R$60)+R10</f>
        <v>#DIV/0!</v>
      </c>
      <c r="T10" s="206" t="e">
        <f t="shared" si="6"/>
        <v>#DIV/0!</v>
      </c>
      <c r="U10" s="166"/>
    </row>
    <row r="11" spans="1:22" ht="12.75" customHeight="1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01">
        <f t="shared" si="0"/>
        <v>0</v>
      </c>
      <c r="K11" s="187">
        <v>0</v>
      </c>
      <c r="L11" s="187">
        <v>0</v>
      </c>
      <c r="M11" s="187">
        <v>0</v>
      </c>
      <c r="N11" s="54">
        <f t="shared" si="1"/>
        <v>0</v>
      </c>
      <c r="O11" s="55">
        <f t="shared" si="7"/>
        <v>0</v>
      </c>
      <c r="P11" s="55">
        <f t="shared" si="8"/>
        <v>0</v>
      </c>
      <c r="Q11" s="56">
        <f t="shared" si="9"/>
        <v>0</v>
      </c>
      <c r="R11" s="77">
        <f t="shared" si="10"/>
        <v>0</v>
      </c>
      <c r="S11" s="247" t="e">
        <f t="shared" si="11"/>
        <v>#DIV/0!</v>
      </c>
      <c r="T11" s="206" t="e">
        <f t="shared" si="6"/>
        <v>#DIV/0!</v>
      </c>
      <c r="U11" s="166"/>
    </row>
    <row r="12" spans="1:22" ht="12.75" customHeight="1">
      <c r="A12" s="226">
        <v>4</v>
      </c>
      <c r="B12" s="178"/>
      <c r="C12" s="112"/>
      <c r="D12" s="178"/>
      <c r="E12" s="112"/>
      <c r="F12" s="112"/>
      <c r="G12" s="171"/>
      <c r="H12" s="225"/>
      <c r="I12" s="301">
        <f>'summary sheet'!$E$2</f>
        <v>120</v>
      </c>
      <c r="J12" s="301">
        <f t="shared" si="0"/>
        <v>0</v>
      </c>
      <c r="K12" s="187">
        <v>0</v>
      </c>
      <c r="L12" s="187">
        <v>0</v>
      </c>
      <c r="M12" s="187">
        <v>0</v>
      </c>
      <c r="N12" s="54">
        <f t="shared" si="1"/>
        <v>0</v>
      </c>
      <c r="O12" s="55">
        <f t="shared" si="7"/>
        <v>0</v>
      </c>
      <c r="P12" s="55">
        <f t="shared" si="8"/>
        <v>0</v>
      </c>
      <c r="Q12" s="56">
        <f t="shared" si="9"/>
        <v>0</v>
      </c>
      <c r="R12" s="77">
        <f t="shared" si="10"/>
        <v>0</v>
      </c>
      <c r="S12" s="247" t="e">
        <f t="shared" si="11"/>
        <v>#DIV/0!</v>
      </c>
      <c r="T12" s="206" t="e">
        <f t="shared" si="6"/>
        <v>#DIV/0!</v>
      </c>
      <c r="U12" s="166"/>
    </row>
    <row r="13" spans="1:22" ht="12.75" customHeight="1">
      <c r="A13" s="226">
        <v>5</v>
      </c>
      <c r="B13" s="178"/>
      <c r="C13" s="112"/>
      <c r="D13" s="178"/>
      <c r="E13" s="112"/>
      <c r="F13" s="112"/>
      <c r="G13" s="171"/>
      <c r="H13" s="225"/>
      <c r="I13" s="301">
        <f>'summary sheet'!$E$2</f>
        <v>120</v>
      </c>
      <c r="J13" s="301">
        <f t="shared" si="0"/>
        <v>0</v>
      </c>
      <c r="K13" s="187">
        <v>0</v>
      </c>
      <c r="L13" s="187">
        <v>0</v>
      </c>
      <c r="M13" s="187">
        <v>0</v>
      </c>
      <c r="N13" s="54">
        <f t="shared" si="1"/>
        <v>0</v>
      </c>
      <c r="O13" s="55">
        <f t="shared" si="7"/>
        <v>0</v>
      </c>
      <c r="P13" s="55">
        <f t="shared" si="8"/>
        <v>0</v>
      </c>
      <c r="Q13" s="56">
        <f t="shared" si="9"/>
        <v>0</v>
      </c>
      <c r="R13" s="77">
        <f t="shared" si="10"/>
        <v>0</v>
      </c>
      <c r="S13" s="247" t="e">
        <f t="shared" si="11"/>
        <v>#DIV/0!</v>
      </c>
      <c r="T13" s="206" t="e">
        <f t="shared" si="6"/>
        <v>#DIV/0!</v>
      </c>
      <c r="U13" s="89"/>
    </row>
    <row r="14" spans="1:22" ht="12.75" customHeight="1">
      <c r="A14" s="226">
        <v>6</v>
      </c>
      <c r="B14" s="178"/>
      <c r="C14" s="112"/>
      <c r="D14" s="178"/>
      <c r="E14" s="112"/>
      <c r="F14" s="112"/>
      <c r="G14" s="171"/>
      <c r="H14" s="225"/>
      <c r="I14" s="301">
        <f>'summary sheet'!$E$2</f>
        <v>120</v>
      </c>
      <c r="J14" s="301">
        <f t="shared" si="0"/>
        <v>0</v>
      </c>
      <c r="K14" s="187">
        <v>0</v>
      </c>
      <c r="L14" s="187">
        <v>0</v>
      </c>
      <c r="M14" s="187">
        <v>0</v>
      </c>
      <c r="N14" s="54">
        <f t="shared" si="1"/>
        <v>0</v>
      </c>
      <c r="O14" s="55">
        <f t="shared" si="7"/>
        <v>0</v>
      </c>
      <c r="P14" s="55">
        <f t="shared" si="8"/>
        <v>0</v>
      </c>
      <c r="Q14" s="56">
        <f t="shared" si="9"/>
        <v>0</v>
      </c>
      <c r="R14" s="77">
        <f t="shared" si="10"/>
        <v>0</v>
      </c>
      <c r="S14" s="247" t="e">
        <f t="shared" si="11"/>
        <v>#DIV/0!</v>
      </c>
      <c r="T14" s="206" t="e">
        <f t="shared" si="6"/>
        <v>#DIV/0!</v>
      </c>
      <c r="U14" s="89"/>
    </row>
    <row r="15" spans="1:22" ht="12.75" customHeight="1">
      <c r="A15" s="226">
        <v>7</v>
      </c>
      <c r="B15" s="178"/>
      <c r="C15" s="112"/>
      <c r="D15" s="178"/>
      <c r="E15" s="112"/>
      <c r="F15" s="112"/>
      <c r="G15" s="171"/>
      <c r="H15" s="225"/>
      <c r="I15" s="301">
        <f>'summary sheet'!$E$2</f>
        <v>120</v>
      </c>
      <c r="J15" s="301">
        <f t="shared" si="0"/>
        <v>0</v>
      </c>
      <c r="K15" s="187">
        <v>0</v>
      </c>
      <c r="L15" s="187">
        <v>0</v>
      </c>
      <c r="M15" s="187">
        <v>0</v>
      </c>
      <c r="N15" s="54">
        <f t="shared" si="1"/>
        <v>0</v>
      </c>
      <c r="O15" s="55">
        <f t="shared" si="7"/>
        <v>0</v>
      </c>
      <c r="P15" s="55">
        <f t="shared" si="8"/>
        <v>0</v>
      </c>
      <c r="Q15" s="56">
        <f t="shared" si="9"/>
        <v>0</v>
      </c>
      <c r="R15" s="77">
        <f t="shared" si="10"/>
        <v>0</v>
      </c>
      <c r="S15" s="247" t="e">
        <f t="shared" si="11"/>
        <v>#DIV/0!</v>
      </c>
      <c r="T15" s="206" t="e">
        <f t="shared" si="6"/>
        <v>#DIV/0!</v>
      </c>
      <c r="U15" s="89"/>
    </row>
    <row r="16" spans="1:22" ht="12.75" customHeight="1">
      <c r="A16" s="226">
        <v>8</v>
      </c>
      <c r="B16" s="178"/>
      <c r="C16" s="112"/>
      <c r="D16" s="178"/>
      <c r="E16" s="112"/>
      <c r="F16" s="112"/>
      <c r="G16" s="171"/>
      <c r="H16" s="225"/>
      <c r="I16" s="301">
        <f>'summary sheet'!$E$2</f>
        <v>120</v>
      </c>
      <c r="J16" s="301">
        <f t="shared" si="0"/>
        <v>0</v>
      </c>
      <c r="K16" s="187">
        <v>0</v>
      </c>
      <c r="L16" s="187">
        <v>0</v>
      </c>
      <c r="M16" s="187">
        <v>0</v>
      </c>
      <c r="N16" s="54">
        <f t="shared" si="1"/>
        <v>0</v>
      </c>
      <c r="O16" s="55">
        <f t="shared" si="7"/>
        <v>0</v>
      </c>
      <c r="P16" s="55">
        <f t="shared" si="8"/>
        <v>0</v>
      </c>
      <c r="Q16" s="56">
        <f t="shared" si="9"/>
        <v>0</v>
      </c>
      <c r="R16" s="77">
        <f t="shared" si="10"/>
        <v>0</v>
      </c>
      <c r="S16" s="247" t="e">
        <f t="shared" si="11"/>
        <v>#DIV/0!</v>
      </c>
      <c r="T16" s="206" t="e">
        <f t="shared" si="6"/>
        <v>#DIV/0!</v>
      </c>
      <c r="U16" s="89"/>
    </row>
    <row r="17" spans="1:21" ht="12.75" customHeight="1">
      <c r="A17" s="226">
        <v>9</v>
      </c>
      <c r="B17" s="178"/>
      <c r="C17" s="112"/>
      <c r="D17" s="178"/>
      <c r="E17" s="112"/>
      <c r="F17" s="112"/>
      <c r="G17" s="171"/>
      <c r="H17" s="225"/>
      <c r="I17" s="301">
        <f>'summary sheet'!$E$2</f>
        <v>120</v>
      </c>
      <c r="J17" s="301">
        <f t="shared" si="0"/>
        <v>0</v>
      </c>
      <c r="K17" s="187">
        <v>0</v>
      </c>
      <c r="L17" s="187">
        <v>0</v>
      </c>
      <c r="M17" s="187">
        <v>0</v>
      </c>
      <c r="N17" s="54">
        <f t="shared" si="1"/>
        <v>0</v>
      </c>
      <c r="O17" s="55">
        <f t="shared" si="7"/>
        <v>0</v>
      </c>
      <c r="P17" s="55">
        <f t="shared" si="8"/>
        <v>0</v>
      </c>
      <c r="Q17" s="56">
        <f t="shared" si="9"/>
        <v>0</v>
      </c>
      <c r="R17" s="77">
        <f t="shared" si="10"/>
        <v>0</v>
      </c>
      <c r="S17" s="247" t="e">
        <f t="shared" si="11"/>
        <v>#DIV/0!</v>
      </c>
      <c r="T17" s="206" t="e">
        <f t="shared" si="6"/>
        <v>#DIV/0!</v>
      </c>
      <c r="U17" s="89"/>
    </row>
    <row r="18" spans="1:21" ht="12.75" customHeight="1">
      <c r="A18" s="226">
        <v>10</v>
      </c>
      <c r="B18" s="178"/>
      <c r="C18" s="112"/>
      <c r="D18" s="178"/>
      <c r="E18" s="112"/>
      <c r="F18" s="112"/>
      <c r="G18" s="171"/>
      <c r="H18" s="225"/>
      <c r="I18" s="301">
        <f>'summary sheet'!$E$2</f>
        <v>120</v>
      </c>
      <c r="J18" s="301">
        <f t="shared" si="0"/>
        <v>0</v>
      </c>
      <c r="K18" s="187">
        <v>0</v>
      </c>
      <c r="L18" s="187">
        <v>0</v>
      </c>
      <c r="M18" s="187">
        <v>0</v>
      </c>
      <c r="N18" s="54">
        <f t="shared" si="1"/>
        <v>0</v>
      </c>
      <c r="O18" s="55">
        <f t="shared" si="7"/>
        <v>0</v>
      </c>
      <c r="P18" s="55">
        <f t="shared" si="8"/>
        <v>0</v>
      </c>
      <c r="Q18" s="56">
        <f t="shared" si="9"/>
        <v>0</v>
      </c>
      <c r="R18" s="77">
        <f t="shared" si="10"/>
        <v>0</v>
      </c>
      <c r="S18" s="247" t="e">
        <f t="shared" si="11"/>
        <v>#DIV/0!</v>
      </c>
      <c r="T18" s="206" t="e">
        <f t="shared" si="6"/>
        <v>#DIV/0!</v>
      </c>
      <c r="U18" s="89"/>
    </row>
    <row r="19" spans="1:21" ht="12.75" customHeight="1">
      <c r="A19" s="226">
        <v>11</v>
      </c>
      <c r="B19" s="178"/>
      <c r="C19" s="112"/>
      <c r="D19" s="178"/>
      <c r="E19" s="112"/>
      <c r="F19" s="112"/>
      <c r="G19" s="171"/>
      <c r="H19" s="225"/>
      <c r="I19" s="301">
        <f>'summary sheet'!$E$2</f>
        <v>120</v>
      </c>
      <c r="J19" s="301">
        <f t="shared" si="0"/>
        <v>0</v>
      </c>
      <c r="K19" s="187">
        <v>0</v>
      </c>
      <c r="L19" s="187">
        <v>0</v>
      </c>
      <c r="M19" s="187">
        <v>0</v>
      </c>
      <c r="N19" s="54">
        <f t="shared" si="1"/>
        <v>0</v>
      </c>
      <c r="O19" s="55">
        <f t="shared" si="7"/>
        <v>0</v>
      </c>
      <c r="P19" s="55">
        <f t="shared" si="8"/>
        <v>0</v>
      </c>
      <c r="Q19" s="56">
        <f t="shared" si="9"/>
        <v>0</v>
      </c>
      <c r="R19" s="77">
        <f t="shared" si="10"/>
        <v>0</v>
      </c>
      <c r="S19" s="247" t="e">
        <f t="shared" si="11"/>
        <v>#DIV/0!</v>
      </c>
      <c r="T19" s="206" t="e">
        <f t="shared" si="6"/>
        <v>#DIV/0!</v>
      </c>
      <c r="U19" s="89"/>
    </row>
    <row r="20" spans="1:21" ht="12.75" customHeight="1">
      <c r="A20" s="226">
        <v>12</v>
      </c>
      <c r="B20" s="178"/>
      <c r="C20" s="112"/>
      <c r="D20" s="178"/>
      <c r="E20" s="112"/>
      <c r="F20" s="112"/>
      <c r="G20" s="171"/>
      <c r="H20" s="225"/>
      <c r="I20" s="301">
        <f>'summary sheet'!$E$2</f>
        <v>120</v>
      </c>
      <c r="J20" s="301">
        <f t="shared" si="0"/>
        <v>0</v>
      </c>
      <c r="K20" s="187">
        <v>0</v>
      </c>
      <c r="L20" s="187">
        <v>0</v>
      </c>
      <c r="M20" s="187">
        <v>0</v>
      </c>
      <c r="N20" s="54">
        <f t="shared" si="1"/>
        <v>0</v>
      </c>
      <c r="O20" s="55">
        <f t="shared" si="7"/>
        <v>0</v>
      </c>
      <c r="P20" s="55">
        <f t="shared" si="8"/>
        <v>0</v>
      </c>
      <c r="Q20" s="56">
        <f t="shared" si="9"/>
        <v>0</v>
      </c>
      <c r="R20" s="77">
        <f t="shared" si="10"/>
        <v>0</v>
      </c>
      <c r="S20" s="247" t="e">
        <f t="shared" si="11"/>
        <v>#DIV/0!</v>
      </c>
      <c r="T20" s="206" t="e">
        <f t="shared" si="6"/>
        <v>#DIV/0!</v>
      </c>
      <c r="U20" s="89"/>
    </row>
    <row r="21" spans="1:21" ht="12.75" customHeight="1">
      <c r="A21" s="226">
        <v>13</v>
      </c>
      <c r="B21" s="178"/>
      <c r="C21" s="112"/>
      <c r="D21" s="178"/>
      <c r="E21" s="112"/>
      <c r="F21" s="112"/>
      <c r="G21" s="171"/>
      <c r="H21" s="225"/>
      <c r="I21" s="301">
        <f>'summary sheet'!$E$2</f>
        <v>120</v>
      </c>
      <c r="J21" s="301">
        <f t="shared" si="0"/>
        <v>0</v>
      </c>
      <c r="K21" s="187">
        <v>0</v>
      </c>
      <c r="L21" s="187">
        <v>0</v>
      </c>
      <c r="M21" s="187">
        <v>0</v>
      </c>
      <c r="N21" s="54">
        <f t="shared" si="1"/>
        <v>0</v>
      </c>
      <c r="O21" s="55">
        <f t="shared" si="7"/>
        <v>0</v>
      </c>
      <c r="P21" s="55">
        <f t="shared" si="8"/>
        <v>0</v>
      </c>
      <c r="Q21" s="56">
        <f t="shared" si="9"/>
        <v>0</v>
      </c>
      <c r="R21" s="77">
        <f t="shared" si="10"/>
        <v>0</v>
      </c>
      <c r="S21" s="247" t="e">
        <f t="shared" si="11"/>
        <v>#DIV/0!</v>
      </c>
      <c r="T21" s="206" t="e">
        <f t="shared" si="6"/>
        <v>#DIV/0!</v>
      </c>
      <c r="U21" s="89"/>
    </row>
    <row r="22" spans="1:21" ht="12.75" customHeight="1">
      <c r="A22" s="226">
        <v>14</v>
      </c>
      <c r="B22" s="178"/>
      <c r="C22" s="112"/>
      <c r="D22" s="178"/>
      <c r="E22" s="112"/>
      <c r="F22" s="112"/>
      <c r="G22" s="171"/>
      <c r="H22" s="225"/>
      <c r="I22" s="301">
        <f>'summary sheet'!$E$2</f>
        <v>120</v>
      </c>
      <c r="J22" s="301">
        <f t="shared" si="0"/>
        <v>0</v>
      </c>
      <c r="K22" s="187">
        <v>0</v>
      </c>
      <c r="L22" s="187">
        <v>0</v>
      </c>
      <c r="M22" s="187">
        <v>0</v>
      </c>
      <c r="N22" s="54">
        <f t="shared" si="1"/>
        <v>0</v>
      </c>
      <c r="O22" s="55">
        <f t="shared" si="7"/>
        <v>0</v>
      </c>
      <c r="P22" s="55">
        <f t="shared" si="8"/>
        <v>0</v>
      </c>
      <c r="Q22" s="56">
        <f t="shared" si="9"/>
        <v>0</v>
      </c>
      <c r="R22" s="77">
        <f t="shared" si="10"/>
        <v>0</v>
      </c>
      <c r="S22" s="247" t="e">
        <f t="shared" si="11"/>
        <v>#DIV/0!</v>
      </c>
      <c r="T22" s="206" t="e">
        <f t="shared" si="6"/>
        <v>#DIV/0!</v>
      </c>
      <c r="U22" s="89"/>
    </row>
    <row r="23" spans="1:21" ht="12.75" customHeight="1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1">
        <f>'summary sheet'!$E$2</f>
        <v>120</v>
      </c>
      <c r="J23" s="301">
        <f t="shared" si="0"/>
        <v>0</v>
      </c>
      <c r="K23" s="187">
        <v>0</v>
      </c>
      <c r="L23" s="187">
        <v>0</v>
      </c>
      <c r="M23" s="187">
        <v>0</v>
      </c>
      <c r="N23" s="54">
        <f t="shared" si="1"/>
        <v>0</v>
      </c>
      <c r="O23" s="55">
        <f t="shared" si="7"/>
        <v>0</v>
      </c>
      <c r="P23" s="55">
        <f t="shared" si="8"/>
        <v>0</v>
      </c>
      <c r="Q23" s="56">
        <f t="shared" si="9"/>
        <v>0</v>
      </c>
      <c r="R23" s="77">
        <f t="shared" si="10"/>
        <v>0</v>
      </c>
      <c r="S23" s="247" t="e">
        <f t="shared" si="11"/>
        <v>#DIV/0!</v>
      </c>
      <c r="T23" s="206" t="e">
        <f t="shared" si="6"/>
        <v>#DIV/0!</v>
      </c>
      <c r="U23" s="89"/>
    </row>
    <row r="24" spans="1:21" ht="12.75" hidden="1" customHeight="1">
      <c r="A24" s="226">
        <v>16</v>
      </c>
      <c r="B24" s="178"/>
      <c r="C24" s="112"/>
      <c r="D24" s="178"/>
      <c r="E24" s="112"/>
      <c r="F24" s="112"/>
      <c r="G24" s="171"/>
      <c r="H24" s="225"/>
      <c r="I24" s="301">
        <f>'summary sheet'!$E$2</f>
        <v>120</v>
      </c>
      <c r="J24" s="301">
        <f t="shared" si="0"/>
        <v>0</v>
      </c>
      <c r="K24" s="187">
        <v>0</v>
      </c>
      <c r="L24" s="187">
        <v>0</v>
      </c>
      <c r="M24" s="187">
        <v>0</v>
      </c>
      <c r="N24" s="54">
        <f t="shared" si="1"/>
        <v>0</v>
      </c>
      <c r="O24" s="55">
        <f t="shared" si="7"/>
        <v>0</v>
      </c>
      <c r="P24" s="55">
        <f t="shared" si="8"/>
        <v>0</v>
      </c>
      <c r="Q24" s="56">
        <f t="shared" si="9"/>
        <v>0</v>
      </c>
      <c r="R24" s="77">
        <f t="shared" si="10"/>
        <v>0</v>
      </c>
      <c r="S24" s="247" t="e">
        <f t="shared" si="11"/>
        <v>#DIV/0!</v>
      </c>
      <c r="T24" s="206" t="e">
        <f t="shared" si="6"/>
        <v>#DIV/0!</v>
      </c>
      <c r="U24" s="89"/>
    </row>
    <row r="25" spans="1:21" ht="12.75" hidden="1" customHeight="1">
      <c r="A25" s="226">
        <v>17</v>
      </c>
      <c r="B25" s="178"/>
      <c r="C25" s="112"/>
      <c r="D25" s="178"/>
      <c r="E25" s="112"/>
      <c r="F25" s="112"/>
      <c r="G25" s="171"/>
      <c r="H25" s="225"/>
      <c r="I25" s="301">
        <f>'summary sheet'!$E$2</f>
        <v>120</v>
      </c>
      <c r="J25" s="301">
        <f t="shared" si="0"/>
        <v>0</v>
      </c>
      <c r="K25" s="187">
        <v>0</v>
      </c>
      <c r="L25" s="187">
        <v>0</v>
      </c>
      <c r="M25" s="187">
        <v>0</v>
      </c>
      <c r="N25" s="54">
        <f t="shared" si="1"/>
        <v>0</v>
      </c>
      <c r="O25" s="55">
        <f t="shared" si="7"/>
        <v>0</v>
      </c>
      <c r="P25" s="55">
        <f t="shared" si="8"/>
        <v>0</v>
      </c>
      <c r="Q25" s="56">
        <f t="shared" si="9"/>
        <v>0</v>
      </c>
      <c r="R25" s="77">
        <f t="shared" si="10"/>
        <v>0</v>
      </c>
      <c r="S25" s="247" t="e">
        <f t="shared" si="11"/>
        <v>#DIV/0!</v>
      </c>
      <c r="T25" s="206" t="e">
        <f t="shared" si="6"/>
        <v>#DIV/0!</v>
      </c>
      <c r="U25" s="89"/>
    </row>
    <row r="26" spans="1:21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01">
        <f t="shared" ref="J26:J32" si="12">SUM(I26*H26)*G26</f>
        <v>0</v>
      </c>
      <c r="K26" s="187">
        <v>0</v>
      </c>
      <c r="L26" s="187">
        <v>0</v>
      </c>
      <c r="M26" s="187">
        <v>0</v>
      </c>
      <c r="N26" s="54">
        <f t="shared" si="1"/>
        <v>0</v>
      </c>
      <c r="O26" s="55">
        <f t="shared" si="7"/>
        <v>0</v>
      </c>
      <c r="P26" s="55">
        <f t="shared" si="8"/>
        <v>0</v>
      </c>
      <c r="Q26" s="56">
        <f t="shared" ref="Q26:Q32" si="13">SUM(G26)*M26</f>
        <v>0</v>
      </c>
      <c r="R26" s="77">
        <f t="shared" si="10"/>
        <v>0</v>
      </c>
      <c r="S26" s="247" t="e">
        <f t="shared" si="11"/>
        <v>#DIV/0!</v>
      </c>
      <c r="T26" s="206" t="e">
        <f t="shared" si="6"/>
        <v>#DIV/0!</v>
      </c>
      <c r="U26" s="89"/>
    </row>
    <row r="27" spans="1:21" hidden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01">
        <f t="shared" si="12"/>
        <v>0</v>
      </c>
      <c r="K27" s="187">
        <v>0</v>
      </c>
      <c r="L27" s="187">
        <v>0</v>
      </c>
      <c r="M27" s="187">
        <v>0</v>
      </c>
      <c r="N27" s="54">
        <f t="shared" si="1"/>
        <v>0</v>
      </c>
      <c r="O27" s="55">
        <f t="shared" si="7"/>
        <v>0</v>
      </c>
      <c r="P27" s="55">
        <f t="shared" si="8"/>
        <v>0</v>
      </c>
      <c r="Q27" s="56">
        <f t="shared" si="13"/>
        <v>0</v>
      </c>
      <c r="R27" s="77">
        <f t="shared" si="10"/>
        <v>0</v>
      </c>
      <c r="S27" s="247" t="e">
        <f t="shared" si="11"/>
        <v>#DIV/0!</v>
      </c>
      <c r="T27" s="206" t="e">
        <f t="shared" si="6"/>
        <v>#DIV/0!</v>
      </c>
      <c r="U27" s="89"/>
    </row>
    <row r="28" spans="1:21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01">
        <f t="shared" si="12"/>
        <v>0</v>
      </c>
      <c r="K28" s="187">
        <v>0</v>
      </c>
      <c r="L28" s="187">
        <v>0</v>
      </c>
      <c r="M28" s="187">
        <v>0</v>
      </c>
      <c r="N28" s="54">
        <f t="shared" si="1"/>
        <v>0</v>
      </c>
      <c r="O28" s="55">
        <f t="shared" si="7"/>
        <v>0</v>
      </c>
      <c r="P28" s="55">
        <f t="shared" si="8"/>
        <v>0</v>
      </c>
      <c r="Q28" s="56">
        <f t="shared" si="13"/>
        <v>0</v>
      </c>
      <c r="R28" s="77">
        <f t="shared" si="10"/>
        <v>0</v>
      </c>
      <c r="S28" s="247" t="e">
        <f t="shared" si="11"/>
        <v>#DIV/0!</v>
      </c>
      <c r="T28" s="206" t="e">
        <f t="shared" si="6"/>
        <v>#DIV/0!</v>
      </c>
      <c r="U28" s="89"/>
    </row>
    <row r="29" spans="1:21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01">
        <f t="shared" si="12"/>
        <v>0</v>
      </c>
      <c r="K29" s="187">
        <v>0</v>
      </c>
      <c r="L29" s="187">
        <v>0</v>
      </c>
      <c r="M29" s="187">
        <v>0</v>
      </c>
      <c r="N29" s="54">
        <f t="shared" si="1"/>
        <v>0</v>
      </c>
      <c r="O29" s="55">
        <f t="shared" si="7"/>
        <v>0</v>
      </c>
      <c r="P29" s="55">
        <f t="shared" si="8"/>
        <v>0</v>
      </c>
      <c r="Q29" s="56">
        <f t="shared" si="13"/>
        <v>0</v>
      </c>
      <c r="R29" s="77">
        <f t="shared" si="10"/>
        <v>0</v>
      </c>
      <c r="S29" s="247" t="e">
        <f t="shared" si="11"/>
        <v>#DIV/0!</v>
      </c>
      <c r="T29" s="206" t="e">
        <f t="shared" si="6"/>
        <v>#DIV/0!</v>
      </c>
      <c r="U29" s="89"/>
    </row>
    <row r="30" spans="1:21" hidden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01">
        <f t="shared" si="12"/>
        <v>0</v>
      </c>
      <c r="K30" s="187">
        <v>0</v>
      </c>
      <c r="L30" s="187">
        <v>0</v>
      </c>
      <c r="M30" s="187">
        <v>0</v>
      </c>
      <c r="N30" s="54">
        <f t="shared" si="1"/>
        <v>0</v>
      </c>
      <c r="O30" s="55">
        <f t="shared" si="7"/>
        <v>0</v>
      </c>
      <c r="P30" s="55">
        <f t="shared" si="8"/>
        <v>0</v>
      </c>
      <c r="Q30" s="56">
        <f t="shared" si="13"/>
        <v>0</v>
      </c>
      <c r="R30" s="77">
        <f t="shared" si="10"/>
        <v>0</v>
      </c>
      <c r="S30" s="247" t="e">
        <f t="shared" si="11"/>
        <v>#DIV/0!</v>
      </c>
      <c r="T30" s="206" t="e">
        <f t="shared" si="6"/>
        <v>#DIV/0!</v>
      </c>
      <c r="U30" s="89"/>
    </row>
    <row r="31" spans="1:21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01">
        <f t="shared" si="12"/>
        <v>0</v>
      </c>
      <c r="K31" s="187">
        <v>0</v>
      </c>
      <c r="L31" s="187">
        <v>0</v>
      </c>
      <c r="M31" s="187">
        <v>0</v>
      </c>
      <c r="N31" s="54">
        <f t="shared" si="1"/>
        <v>0</v>
      </c>
      <c r="O31" s="55">
        <f t="shared" si="7"/>
        <v>0</v>
      </c>
      <c r="P31" s="55">
        <f t="shared" si="8"/>
        <v>0</v>
      </c>
      <c r="Q31" s="56">
        <f t="shared" si="13"/>
        <v>0</v>
      </c>
      <c r="R31" s="77">
        <f t="shared" si="10"/>
        <v>0</v>
      </c>
      <c r="S31" s="247" t="e">
        <f t="shared" si="11"/>
        <v>#DIV/0!</v>
      </c>
      <c r="T31" s="206" t="e">
        <f t="shared" si="6"/>
        <v>#DIV/0!</v>
      </c>
      <c r="U31" s="89"/>
    </row>
    <row r="32" spans="1:21" hidden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01">
        <f t="shared" si="12"/>
        <v>0</v>
      </c>
      <c r="K32" s="187">
        <v>0</v>
      </c>
      <c r="L32" s="187">
        <v>0</v>
      </c>
      <c r="M32" s="187">
        <v>0</v>
      </c>
      <c r="N32" s="54">
        <f t="shared" si="1"/>
        <v>0</v>
      </c>
      <c r="O32" s="55">
        <f t="shared" si="7"/>
        <v>0</v>
      </c>
      <c r="P32" s="55">
        <f t="shared" si="8"/>
        <v>0</v>
      </c>
      <c r="Q32" s="56">
        <f t="shared" si="13"/>
        <v>0</v>
      </c>
      <c r="R32" s="77">
        <f t="shared" si="10"/>
        <v>0</v>
      </c>
      <c r="S32" s="247" t="e">
        <f t="shared" si="11"/>
        <v>#DIV/0!</v>
      </c>
      <c r="T32" s="206" t="e">
        <f t="shared" si="6"/>
        <v>#DIV/0!</v>
      </c>
      <c r="U32" s="89"/>
    </row>
    <row r="33" spans="1:22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ref="J33" si="14">SUM(H33*I33)*G33</f>
        <v>0</v>
      </c>
      <c r="K33" s="118">
        <v>0</v>
      </c>
      <c r="L33" s="118">
        <v>0</v>
      </c>
      <c r="M33" s="119">
        <v>0</v>
      </c>
      <c r="N33" s="54">
        <f t="shared" si="1"/>
        <v>0</v>
      </c>
      <c r="O33" s="55">
        <f t="shared" si="7"/>
        <v>0</v>
      </c>
      <c r="P33" s="55">
        <f t="shared" si="8"/>
        <v>0</v>
      </c>
      <c r="Q33" s="56">
        <f t="shared" ref="Q33" si="15">M33</f>
        <v>0</v>
      </c>
      <c r="R33" s="77">
        <f t="shared" si="10"/>
        <v>0</v>
      </c>
      <c r="S33" s="247" t="e">
        <f t="shared" si="11"/>
        <v>#DIV/0!</v>
      </c>
      <c r="T33" s="206" t="e">
        <f t="shared" si="6"/>
        <v>#DIV/0!</v>
      </c>
      <c r="U33" s="89"/>
    </row>
    <row r="34" spans="1:22" ht="12.75" hidden="1" customHeight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>SUM(H34*I34)*G34</f>
        <v>0</v>
      </c>
      <c r="K34" s="118">
        <v>0</v>
      </c>
      <c r="L34" s="118">
        <v>0</v>
      </c>
      <c r="M34" s="119">
        <v>0</v>
      </c>
      <c r="N34" s="54">
        <f>J34</f>
        <v>0</v>
      </c>
      <c r="O34" s="55">
        <f t="shared" si="7"/>
        <v>0</v>
      </c>
      <c r="P34" s="55">
        <f t="shared" si="8"/>
        <v>0</v>
      </c>
      <c r="Q34" s="56">
        <f>M34</f>
        <v>0</v>
      </c>
      <c r="R34" s="77">
        <f t="shared" si="10"/>
        <v>0</v>
      </c>
      <c r="S34" s="247" t="e">
        <f t="shared" si="11"/>
        <v>#DIV/0!</v>
      </c>
      <c r="T34" s="206" t="e">
        <f t="shared" si="6"/>
        <v>#DIV/0!</v>
      </c>
      <c r="U34" s="88"/>
      <c r="V34" s="51"/>
    </row>
    <row r="35" spans="1:22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>SUM(H35*I35)*G35</f>
        <v>0</v>
      </c>
      <c r="K35" s="118">
        <v>0</v>
      </c>
      <c r="L35" s="118">
        <v>0</v>
      </c>
      <c r="M35" s="119">
        <v>0</v>
      </c>
      <c r="N35" s="54">
        <f t="shared" ref="N35:N55" si="16">J35</f>
        <v>0</v>
      </c>
      <c r="O35" s="55">
        <f t="shared" si="7"/>
        <v>0</v>
      </c>
      <c r="P35" s="55">
        <f t="shared" si="8"/>
        <v>0</v>
      </c>
      <c r="Q35" s="56">
        <f t="shared" ref="Q35:Q55" si="17">M35</f>
        <v>0</v>
      </c>
      <c r="R35" s="77">
        <f t="shared" si="10"/>
        <v>0</v>
      </c>
      <c r="S35" s="247" t="e">
        <f t="shared" si="11"/>
        <v>#DIV/0!</v>
      </c>
      <c r="T35" s="206" t="e">
        <f t="shared" si="6"/>
        <v>#DIV/0!</v>
      </c>
      <c r="U35" s="89"/>
      <c r="V35" s="51"/>
    </row>
    <row r="36" spans="1:22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ref="J36:J55" si="18">SUM(H36*I36)*G36</f>
        <v>0</v>
      </c>
      <c r="K36" s="118">
        <v>0</v>
      </c>
      <c r="L36" s="118">
        <v>0</v>
      </c>
      <c r="M36" s="119">
        <v>0</v>
      </c>
      <c r="N36" s="54">
        <f t="shared" si="16"/>
        <v>0</v>
      </c>
      <c r="O36" s="55">
        <f t="shared" si="7"/>
        <v>0</v>
      </c>
      <c r="P36" s="55">
        <f t="shared" si="8"/>
        <v>0</v>
      </c>
      <c r="Q36" s="56">
        <f t="shared" si="17"/>
        <v>0</v>
      </c>
      <c r="R36" s="77">
        <f t="shared" si="10"/>
        <v>0</v>
      </c>
      <c r="S36" s="247" t="e">
        <f t="shared" si="11"/>
        <v>#DIV/0!</v>
      </c>
      <c r="T36" s="206" t="e">
        <f t="shared" si="6"/>
        <v>#DIV/0!</v>
      </c>
      <c r="U36" s="89"/>
    </row>
    <row r="37" spans="1:22" ht="13.2" hidden="1" customHeight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8"/>
        <v>0</v>
      </c>
      <c r="K37" s="118">
        <v>0</v>
      </c>
      <c r="L37" s="118">
        <v>0</v>
      </c>
      <c r="M37" s="119">
        <v>0</v>
      </c>
      <c r="N37" s="54">
        <f t="shared" si="16"/>
        <v>0</v>
      </c>
      <c r="O37" s="55">
        <f t="shared" si="7"/>
        <v>0</v>
      </c>
      <c r="P37" s="55">
        <f t="shared" si="8"/>
        <v>0</v>
      </c>
      <c r="Q37" s="56">
        <f t="shared" si="17"/>
        <v>0</v>
      </c>
      <c r="R37" s="77">
        <f t="shared" si="10"/>
        <v>0</v>
      </c>
      <c r="S37" s="247" t="e">
        <f t="shared" si="11"/>
        <v>#DIV/0!</v>
      </c>
      <c r="T37" s="206" t="e">
        <f t="shared" si="6"/>
        <v>#DIV/0!</v>
      </c>
      <c r="U37" s="89"/>
    </row>
    <row r="38" spans="1:22" ht="13.2" hidden="1" customHeight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8"/>
        <v>0</v>
      </c>
      <c r="K38" s="118">
        <v>0</v>
      </c>
      <c r="L38" s="118">
        <v>0</v>
      </c>
      <c r="M38" s="119">
        <v>0</v>
      </c>
      <c r="N38" s="54">
        <f t="shared" si="16"/>
        <v>0</v>
      </c>
      <c r="O38" s="55">
        <f t="shared" si="7"/>
        <v>0</v>
      </c>
      <c r="P38" s="55">
        <f t="shared" si="8"/>
        <v>0</v>
      </c>
      <c r="Q38" s="56">
        <f t="shared" si="17"/>
        <v>0</v>
      </c>
      <c r="R38" s="77">
        <f t="shared" si="10"/>
        <v>0</v>
      </c>
      <c r="S38" s="247" t="e">
        <f t="shared" si="11"/>
        <v>#DIV/0!</v>
      </c>
      <c r="T38" s="206" t="e">
        <f t="shared" si="6"/>
        <v>#DIV/0!</v>
      </c>
      <c r="U38" s="89"/>
    </row>
    <row r="39" spans="1:22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8"/>
        <v>0</v>
      </c>
      <c r="K39" s="118">
        <v>0</v>
      </c>
      <c r="L39" s="118">
        <v>0</v>
      </c>
      <c r="M39" s="119">
        <v>0</v>
      </c>
      <c r="N39" s="54">
        <f t="shared" si="16"/>
        <v>0</v>
      </c>
      <c r="O39" s="55">
        <f t="shared" si="7"/>
        <v>0</v>
      </c>
      <c r="P39" s="55">
        <f t="shared" si="8"/>
        <v>0</v>
      </c>
      <c r="Q39" s="56">
        <f t="shared" si="17"/>
        <v>0</v>
      </c>
      <c r="R39" s="77">
        <f t="shared" si="10"/>
        <v>0</v>
      </c>
      <c r="S39" s="247" t="e">
        <f t="shared" si="11"/>
        <v>#DIV/0!</v>
      </c>
      <c r="T39" s="206" t="e">
        <f t="shared" si="6"/>
        <v>#DIV/0!</v>
      </c>
      <c r="U39" s="89"/>
    </row>
    <row r="40" spans="1:22" ht="13.2" hidden="1" customHeight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8"/>
        <v>0</v>
      </c>
      <c r="K40" s="118">
        <v>0</v>
      </c>
      <c r="L40" s="118">
        <v>0</v>
      </c>
      <c r="M40" s="119">
        <v>0</v>
      </c>
      <c r="N40" s="54">
        <f t="shared" si="16"/>
        <v>0</v>
      </c>
      <c r="O40" s="55">
        <f t="shared" si="7"/>
        <v>0</v>
      </c>
      <c r="P40" s="55">
        <f t="shared" si="8"/>
        <v>0</v>
      </c>
      <c r="Q40" s="56">
        <f t="shared" si="17"/>
        <v>0</v>
      </c>
      <c r="R40" s="77">
        <f t="shared" si="10"/>
        <v>0</v>
      </c>
      <c r="S40" s="247" t="e">
        <f t="shared" si="11"/>
        <v>#DIV/0!</v>
      </c>
      <c r="T40" s="206" t="e">
        <f t="shared" si="6"/>
        <v>#DIV/0!</v>
      </c>
      <c r="U40" s="89"/>
    </row>
    <row r="41" spans="1:22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8"/>
        <v>0</v>
      </c>
      <c r="K41" s="118">
        <v>0</v>
      </c>
      <c r="L41" s="118">
        <v>0</v>
      </c>
      <c r="M41" s="119">
        <v>0</v>
      </c>
      <c r="N41" s="54">
        <f t="shared" si="16"/>
        <v>0</v>
      </c>
      <c r="O41" s="55">
        <f t="shared" si="7"/>
        <v>0</v>
      </c>
      <c r="P41" s="55">
        <f t="shared" si="8"/>
        <v>0</v>
      </c>
      <c r="Q41" s="56">
        <f t="shared" si="17"/>
        <v>0</v>
      </c>
      <c r="R41" s="77">
        <f t="shared" si="10"/>
        <v>0</v>
      </c>
      <c r="S41" s="247" t="e">
        <f t="shared" si="11"/>
        <v>#DIV/0!</v>
      </c>
      <c r="T41" s="206" t="e">
        <f t="shared" si="6"/>
        <v>#DIV/0!</v>
      </c>
      <c r="U41" s="89"/>
    </row>
    <row r="42" spans="1:22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8"/>
        <v>0</v>
      </c>
      <c r="K42" s="118">
        <v>0</v>
      </c>
      <c r="L42" s="118">
        <v>0</v>
      </c>
      <c r="M42" s="119">
        <v>0</v>
      </c>
      <c r="N42" s="54">
        <f t="shared" si="16"/>
        <v>0</v>
      </c>
      <c r="O42" s="55">
        <f t="shared" si="7"/>
        <v>0</v>
      </c>
      <c r="P42" s="55">
        <f t="shared" si="8"/>
        <v>0</v>
      </c>
      <c r="Q42" s="56">
        <f t="shared" si="17"/>
        <v>0</v>
      </c>
      <c r="R42" s="77">
        <f t="shared" si="10"/>
        <v>0</v>
      </c>
      <c r="S42" s="247" t="e">
        <f t="shared" si="11"/>
        <v>#DIV/0!</v>
      </c>
      <c r="T42" s="206" t="e">
        <f t="shared" si="6"/>
        <v>#DIV/0!</v>
      </c>
      <c r="U42" s="89"/>
    </row>
    <row r="43" spans="1:22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8"/>
        <v>0</v>
      </c>
      <c r="K43" s="118">
        <v>0</v>
      </c>
      <c r="L43" s="118">
        <v>0</v>
      </c>
      <c r="M43" s="119">
        <v>0</v>
      </c>
      <c r="N43" s="54">
        <f t="shared" si="16"/>
        <v>0</v>
      </c>
      <c r="O43" s="55">
        <f t="shared" si="7"/>
        <v>0</v>
      </c>
      <c r="P43" s="55">
        <f t="shared" si="8"/>
        <v>0</v>
      </c>
      <c r="Q43" s="56">
        <f t="shared" si="17"/>
        <v>0</v>
      </c>
      <c r="R43" s="77">
        <f t="shared" si="10"/>
        <v>0</v>
      </c>
      <c r="S43" s="247" t="e">
        <f t="shared" si="11"/>
        <v>#DIV/0!</v>
      </c>
      <c r="T43" s="206" t="e">
        <f t="shared" si="6"/>
        <v>#DIV/0!</v>
      </c>
      <c r="U43" s="89"/>
    </row>
    <row r="44" spans="1:22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8"/>
        <v>0</v>
      </c>
      <c r="K44" s="118">
        <v>0</v>
      </c>
      <c r="L44" s="118">
        <v>0</v>
      </c>
      <c r="M44" s="119">
        <v>0</v>
      </c>
      <c r="N44" s="54">
        <f t="shared" si="16"/>
        <v>0</v>
      </c>
      <c r="O44" s="55">
        <f t="shared" si="7"/>
        <v>0</v>
      </c>
      <c r="P44" s="55">
        <f t="shared" si="8"/>
        <v>0</v>
      </c>
      <c r="Q44" s="56">
        <f t="shared" si="17"/>
        <v>0</v>
      </c>
      <c r="R44" s="77">
        <f t="shared" si="10"/>
        <v>0</v>
      </c>
      <c r="S44" s="247" t="e">
        <f t="shared" si="11"/>
        <v>#DIV/0!</v>
      </c>
      <c r="T44" s="206" t="e">
        <f t="shared" si="6"/>
        <v>#DIV/0!</v>
      </c>
      <c r="U44" s="89"/>
    </row>
    <row r="45" spans="1:22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8"/>
        <v>0</v>
      </c>
      <c r="K45" s="118">
        <v>0</v>
      </c>
      <c r="L45" s="118">
        <v>0</v>
      </c>
      <c r="M45" s="119">
        <v>0</v>
      </c>
      <c r="N45" s="54">
        <f t="shared" si="16"/>
        <v>0</v>
      </c>
      <c r="O45" s="55">
        <f t="shared" si="7"/>
        <v>0</v>
      </c>
      <c r="P45" s="55">
        <f t="shared" si="8"/>
        <v>0</v>
      </c>
      <c r="Q45" s="56">
        <f t="shared" si="17"/>
        <v>0</v>
      </c>
      <c r="R45" s="77">
        <f t="shared" si="10"/>
        <v>0</v>
      </c>
      <c r="S45" s="247" t="e">
        <f t="shared" si="11"/>
        <v>#DIV/0!</v>
      </c>
      <c r="T45" s="206" t="e">
        <f t="shared" si="6"/>
        <v>#DIV/0!</v>
      </c>
      <c r="U45" s="89"/>
    </row>
    <row r="46" spans="1:22" ht="13.2" hidden="1" customHeight="1">
      <c r="A46" s="226">
        <v>38</v>
      </c>
      <c r="B46" s="178"/>
      <c r="C46" s="112"/>
      <c r="D46" s="178"/>
      <c r="E46" s="112"/>
      <c r="F46" s="112"/>
      <c r="G46" s="171"/>
      <c r="H46" s="225"/>
      <c r="I46" s="302">
        <f>'summary sheet'!$E$2</f>
        <v>120</v>
      </c>
      <c r="J46" s="315">
        <f t="shared" si="18"/>
        <v>0</v>
      </c>
      <c r="K46" s="118">
        <v>0</v>
      </c>
      <c r="L46" s="118">
        <v>0</v>
      </c>
      <c r="M46" s="119">
        <v>0</v>
      </c>
      <c r="N46" s="54">
        <f t="shared" si="16"/>
        <v>0</v>
      </c>
      <c r="O46" s="55">
        <f t="shared" si="7"/>
        <v>0</v>
      </c>
      <c r="P46" s="55">
        <f t="shared" si="8"/>
        <v>0</v>
      </c>
      <c r="Q46" s="56">
        <f t="shared" si="17"/>
        <v>0</v>
      </c>
      <c r="R46" s="77">
        <f t="shared" si="10"/>
        <v>0</v>
      </c>
      <c r="S46" s="247" t="e">
        <f t="shared" si="11"/>
        <v>#DIV/0!</v>
      </c>
      <c r="T46" s="206" t="e">
        <f t="shared" si="6"/>
        <v>#DIV/0!</v>
      </c>
      <c r="U46" s="89"/>
    </row>
    <row r="47" spans="1:22" ht="13.2" hidden="1" customHeight="1">
      <c r="A47" s="226">
        <v>39</v>
      </c>
      <c r="B47" s="178"/>
      <c r="C47" s="112"/>
      <c r="D47" s="178"/>
      <c r="E47" s="112"/>
      <c r="F47" s="112"/>
      <c r="G47" s="171"/>
      <c r="H47" s="225"/>
      <c r="I47" s="302">
        <f>'summary sheet'!$E$2</f>
        <v>120</v>
      </c>
      <c r="J47" s="315">
        <f t="shared" si="18"/>
        <v>0</v>
      </c>
      <c r="K47" s="118">
        <v>0</v>
      </c>
      <c r="L47" s="118">
        <v>0</v>
      </c>
      <c r="M47" s="119">
        <v>0</v>
      </c>
      <c r="N47" s="54">
        <f t="shared" si="16"/>
        <v>0</v>
      </c>
      <c r="O47" s="55">
        <f t="shared" si="7"/>
        <v>0</v>
      </c>
      <c r="P47" s="55">
        <f t="shared" si="8"/>
        <v>0</v>
      </c>
      <c r="Q47" s="56">
        <f t="shared" si="17"/>
        <v>0</v>
      </c>
      <c r="R47" s="77">
        <f t="shared" si="10"/>
        <v>0</v>
      </c>
      <c r="S47" s="247" t="e">
        <f t="shared" si="11"/>
        <v>#DIV/0!</v>
      </c>
      <c r="T47" s="206" t="e">
        <f t="shared" si="6"/>
        <v>#DIV/0!</v>
      </c>
      <c r="U47" s="89"/>
    </row>
    <row r="48" spans="1:22" ht="13.2" hidden="1" customHeight="1">
      <c r="A48" s="226">
        <v>40</v>
      </c>
      <c r="B48" s="178"/>
      <c r="C48" s="112"/>
      <c r="D48" s="178"/>
      <c r="E48" s="112"/>
      <c r="F48" s="112"/>
      <c r="G48" s="171"/>
      <c r="H48" s="225"/>
      <c r="I48" s="302">
        <f>'summary sheet'!$E$2</f>
        <v>120</v>
      </c>
      <c r="J48" s="315">
        <f t="shared" si="18"/>
        <v>0</v>
      </c>
      <c r="K48" s="118">
        <v>0</v>
      </c>
      <c r="L48" s="118">
        <v>0</v>
      </c>
      <c r="M48" s="119">
        <v>0</v>
      </c>
      <c r="N48" s="54">
        <f t="shared" si="16"/>
        <v>0</v>
      </c>
      <c r="O48" s="55">
        <f t="shared" si="7"/>
        <v>0</v>
      </c>
      <c r="P48" s="55">
        <f t="shared" si="8"/>
        <v>0</v>
      </c>
      <c r="Q48" s="56">
        <f t="shared" si="17"/>
        <v>0</v>
      </c>
      <c r="R48" s="77">
        <f t="shared" si="10"/>
        <v>0</v>
      </c>
      <c r="S48" s="247" t="e">
        <f t="shared" si="11"/>
        <v>#DIV/0!</v>
      </c>
      <c r="T48" s="206" t="e">
        <f t="shared" si="6"/>
        <v>#DIV/0!</v>
      </c>
      <c r="U48" s="89"/>
    </row>
    <row r="49" spans="1:21" ht="13.2" hidden="1" customHeight="1">
      <c r="A49" s="226">
        <v>41</v>
      </c>
      <c r="B49" s="178"/>
      <c r="C49" s="112"/>
      <c r="D49" s="178"/>
      <c r="E49" s="112"/>
      <c r="F49" s="112"/>
      <c r="G49" s="171"/>
      <c r="H49" s="225"/>
      <c r="I49" s="302">
        <f>'summary sheet'!$E$2</f>
        <v>120</v>
      </c>
      <c r="J49" s="315">
        <f t="shared" si="18"/>
        <v>0</v>
      </c>
      <c r="K49" s="118">
        <v>0</v>
      </c>
      <c r="L49" s="118">
        <v>0</v>
      </c>
      <c r="M49" s="119">
        <v>0</v>
      </c>
      <c r="N49" s="54">
        <f t="shared" si="16"/>
        <v>0</v>
      </c>
      <c r="O49" s="55">
        <f t="shared" si="7"/>
        <v>0</v>
      </c>
      <c r="P49" s="55">
        <f t="shared" si="8"/>
        <v>0</v>
      </c>
      <c r="Q49" s="56">
        <f t="shared" si="17"/>
        <v>0</v>
      </c>
      <c r="R49" s="77">
        <f t="shared" si="10"/>
        <v>0</v>
      </c>
      <c r="S49" s="247" t="e">
        <f t="shared" si="11"/>
        <v>#DIV/0!</v>
      </c>
      <c r="T49" s="206" t="e">
        <f t="shared" si="6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2">
        <f>'summary sheet'!$E$2</f>
        <v>120</v>
      </c>
      <c r="J50" s="315">
        <f t="shared" si="18"/>
        <v>0</v>
      </c>
      <c r="K50" s="118">
        <v>0</v>
      </c>
      <c r="L50" s="118">
        <v>0</v>
      </c>
      <c r="M50" s="119">
        <v>0</v>
      </c>
      <c r="N50" s="54">
        <f t="shared" si="16"/>
        <v>0</v>
      </c>
      <c r="O50" s="55">
        <f t="shared" si="7"/>
        <v>0</v>
      </c>
      <c r="P50" s="55">
        <f t="shared" si="8"/>
        <v>0</v>
      </c>
      <c r="Q50" s="56">
        <f t="shared" si="17"/>
        <v>0</v>
      </c>
      <c r="R50" s="77">
        <f t="shared" si="10"/>
        <v>0</v>
      </c>
      <c r="S50" s="247" t="e">
        <f t="shared" si="11"/>
        <v>#DIV/0!</v>
      </c>
      <c r="T50" s="206" t="e">
        <f t="shared" si="6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2">
        <f>'summary sheet'!$E$2</f>
        <v>120</v>
      </c>
      <c r="J51" s="315">
        <f t="shared" si="18"/>
        <v>0</v>
      </c>
      <c r="K51" s="118">
        <v>0</v>
      </c>
      <c r="L51" s="118">
        <v>0</v>
      </c>
      <c r="M51" s="119">
        <v>0</v>
      </c>
      <c r="N51" s="54">
        <f t="shared" si="16"/>
        <v>0</v>
      </c>
      <c r="O51" s="55">
        <f t="shared" si="7"/>
        <v>0</v>
      </c>
      <c r="P51" s="55">
        <f t="shared" si="8"/>
        <v>0</v>
      </c>
      <c r="Q51" s="56">
        <f t="shared" si="17"/>
        <v>0</v>
      </c>
      <c r="R51" s="77">
        <f t="shared" si="10"/>
        <v>0</v>
      </c>
      <c r="S51" s="247" t="e">
        <f t="shared" si="11"/>
        <v>#DIV/0!</v>
      </c>
      <c r="T51" s="206" t="e">
        <f t="shared" si="6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2">
        <f>'summary sheet'!$E$2</f>
        <v>120</v>
      </c>
      <c r="J52" s="315">
        <f t="shared" si="18"/>
        <v>0</v>
      </c>
      <c r="K52" s="118">
        <v>0</v>
      </c>
      <c r="L52" s="118">
        <v>0</v>
      </c>
      <c r="M52" s="119">
        <v>0</v>
      </c>
      <c r="N52" s="54">
        <f t="shared" si="16"/>
        <v>0</v>
      </c>
      <c r="O52" s="55">
        <f t="shared" si="7"/>
        <v>0</v>
      </c>
      <c r="P52" s="55">
        <f t="shared" si="8"/>
        <v>0</v>
      </c>
      <c r="Q52" s="56">
        <f t="shared" si="17"/>
        <v>0</v>
      </c>
      <c r="R52" s="77">
        <f t="shared" si="10"/>
        <v>0</v>
      </c>
      <c r="S52" s="247" t="e">
        <f t="shared" si="11"/>
        <v>#DIV/0!</v>
      </c>
      <c r="T52" s="206" t="e">
        <f t="shared" si="6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2">
        <f>'summary sheet'!$E$2</f>
        <v>120</v>
      </c>
      <c r="J53" s="315">
        <f t="shared" si="18"/>
        <v>0</v>
      </c>
      <c r="K53" s="118">
        <v>0</v>
      </c>
      <c r="L53" s="118">
        <v>0</v>
      </c>
      <c r="M53" s="119">
        <v>0</v>
      </c>
      <c r="N53" s="54">
        <f t="shared" si="16"/>
        <v>0</v>
      </c>
      <c r="O53" s="55">
        <f t="shared" si="7"/>
        <v>0</v>
      </c>
      <c r="P53" s="55">
        <f t="shared" si="8"/>
        <v>0</v>
      </c>
      <c r="Q53" s="56">
        <f t="shared" si="17"/>
        <v>0</v>
      </c>
      <c r="R53" s="77">
        <f t="shared" si="10"/>
        <v>0</v>
      </c>
      <c r="S53" s="247" t="e">
        <f t="shared" si="11"/>
        <v>#DIV/0!</v>
      </c>
      <c r="T53" s="206" t="e">
        <f t="shared" si="6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2">
        <f>'summary sheet'!$E$2</f>
        <v>120</v>
      </c>
      <c r="J54" s="315">
        <f t="shared" si="18"/>
        <v>0</v>
      </c>
      <c r="K54" s="118">
        <v>0</v>
      </c>
      <c r="L54" s="118">
        <v>0</v>
      </c>
      <c r="M54" s="119">
        <v>0</v>
      </c>
      <c r="N54" s="54">
        <f t="shared" si="16"/>
        <v>0</v>
      </c>
      <c r="O54" s="55">
        <f t="shared" si="7"/>
        <v>0</v>
      </c>
      <c r="P54" s="55">
        <f t="shared" si="8"/>
        <v>0</v>
      </c>
      <c r="Q54" s="56">
        <f t="shared" si="17"/>
        <v>0</v>
      </c>
      <c r="R54" s="77">
        <f t="shared" si="10"/>
        <v>0</v>
      </c>
      <c r="S54" s="247" t="e">
        <f t="shared" si="11"/>
        <v>#DIV/0!</v>
      </c>
      <c r="T54" s="206" t="e">
        <f t="shared" si="6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2">
        <f>'summary sheet'!$E$2</f>
        <v>120</v>
      </c>
      <c r="J55" s="315">
        <f t="shared" si="18"/>
        <v>0</v>
      </c>
      <c r="K55" s="118">
        <v>0</v>
      </c>
      <c r="L55" s="118">
        <v>0</v>
      </c>
      <c r="M55" s="119">
        <v>0</v>
      </c>
      <c r="N55" s="54">
        <f t="shared" si="16"/>
        <v>0</v>
      </c>
      <c r="O55" s="55">
        <f t="shared" si="7"/>
        <v>0</v>
      </c>
      <c r="P55" s="55">
        <f t="shared" si="8"/>
        <v>0</v>
      </c>
      <c r="Q55" s="56">
        <f t="shared" si="17"/>
        <v>0</v>
      </c>
      <c r="R55" s="77">
        <f t="shared" si="10"/>
        <v>0</v>
      </c>
      <c r="S55" s="247" t="e">
        <f t="shared" si="11"/>
        <v>#DIV/0!</v>
      </c>
      <c r="T55" s="206" t="e">
        <f t="shared" si="6"/>
        <v>#DIV/0!</v>
      </c>
      <c r="U55" s="89"/>
    </row>
    <row r="56" spans="1:21" ht="12.75" hidden="1" customHeight="1">
      <c r="A56" s="226">
        <v>48</v>
      </c>
      <c r="B56" s="178"/>
      <c r="C56" s="112"/>
      <c r="D56" s="178"/>
      <c r="E56" s="112"/>
      <c r="F56" s="112"/>
      <c r="G56" s="171"/>
      <c r="H56" s="225"/>
      <c r="I56" s="301">
        <f>'summary sheet'!$E$2</f>
        <v>120</v>
      </c>
      <c r="J56" s="301">
        <f t="shared" si="0"/>
        <v>0</v>
      </c>
      <c r="K56" s="187">
        <v>0</v>
      </c>
      <c r="L56" s="187">
        <v>0</v>
      </c>
      <c r="M56" s="187">
        <v>0</v>
      </c>
      <c r="N56" s="54">
        <f t="shared" si="1"/>
        <v>0</v>
      </c>
      <c r="O56" s="55">
        <f t="shared" si="7"/>
        <v>0</v>
      </c>
      <c r="P56" s="55">
        <f t="shared" si="8"/>
        <v>0</v>
      </c>
      <c r="Q56" s="56">
        <f t="shared" si="9"/>
        <v>0</v>
      </c>
      <c r="R56" s="77">
        <f t="shared" si="10"/>
        <v>0</v>
      </c>
      <c r="S56" s="247" t="e">
        <f t="shared" si="11"/>
        <v>#DIV/0!</v>
      </c>
      <c r="T56" s="206" t="e">
        <f t="shared" si="6"/>
        <v>#DIV/0!</v>
      </c>
      <c r="U56" s="89"/>
    </row>
    <row r="57" spans="1:21" ht="12.75" hidden="1" customHeight="1">
      <c r="A57" s="226">
        <v>49</v>
      </c>
      <c r="B57" s="178"/>
      <c r="C57" s="112"/>
      <c r="D57" s="178"/>
      <c r="E57" s="112"/>
      <c r="F57" s="112"/>
      <c r="G57" s="171"/>
      <c r="H57" s="225"/>
      <c r="I57" s="301">
        <f>'summary sheet'!$E$2</f>
        <v>120</v>
      </c>
      <c r="J57" s="301">
        <f t="shared" si="0"/>
        <v>0</v>
      </c>
      <c r="K57" s="187">
        <v>0</v>
      </c>
      <c r="L57" s="187">
        <v>0</v>
      </c>
      <c r="M57" s="187">
        <v>0</v>
      </c>
      <c r="N57" s="54">
        <f t="shared" si="1"/>
        <v>0</v>
      </c>
      <c r="O57" s="55">
        <f t="shared" si="7"/>
        <v>0</v>
      </c>
      <c r="P57" s="55">
        <f t="shared" si="8"/>
        <v>0</v>
      </c>
      <c r="Q57" s="56">
        <f t="shared" si="9"/>
        <v>0</v>
      </c>
      <c r="R57" s="77">
        <f t="shared" si="10"/>
        <v>0</v>
      </c>
      <c r="S57" s="247" t="e">
        <f t="shared" si="11"/>
        <v>#DIV/0!</v>
      </c>
      <c r="T57" s="206" t="e">
        <f t="shared" si="6"/>
        <v>#DIV/0!</v>
      </c>
      <c r="U57" s="89"/>
    </row>
    <row r="58" spans="1:21" ht="12.75" hidden="1" customHeight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1">
        <f>'summary sheet'!$E$2</f>
        <v>120</v>
      </c>
      <c r="J58" s="301">
        <f t="shared" si="0"/>
        <v>0</v>
      </c>
      <c r="K58" s="187">
        <v>0</v>
      </c>
      <c r="L58" s="187">
        <v>0</v>
      </c>
      <c r="M58" s="187">
        <v>0</v>
      </c>
      <c r="N58" s="54">
        <f t="shared" si="1"/>
        <v>0</v>
      </c>
      <c r="O58" s="55">
        <f t="shared" si="7"/>
        <v>0</v>
      </c>
      <c r="P58" s="55">
        <f t="shared" si="8"/>
        <v>0</v>
      </c>
      <c r="Q58" s="56">
        <f t="shared" si="9"/>
        <v>0</v>
      </c>
      <c r="R58" s="77">
        <f t="shared" si="10"/>
        <v>0</v>
      </c>
      <c r="S58" s="247" t="e">
        <f t="shared" si="11"/>
        <v>#DIV/0!</v>
      </c>
      <c r="T58" s="206" t="e">
        <f t="shared" si="6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39"/>
      <c r="J62" s="39"/>
      <c r="K62" s="39"/>
      <c r="L62" s="39"/>
      <c r="M62" s="39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39"/>
      <c r="J63" s="39"/>
      <c r="K63" s="39"/>
      <c r="L63" s="39"/>
      <c r="M63" s="39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39"/>
      <c r="J64" s="39"/>
      <c r="K64" s="39"/>
      <c r="L64" s="39"/>
      <c r="M64" s="39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19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39"/>
      <c r="J65" s="39"/>
      <c r="K65" s="39"/>
      <c r="L65" s="39"/>
      <c r="M65" s="39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39"/>
      <c r="J66" s="39"/>
      <c r="K66" s="39"/>
      <c r="L66" s="39"/>
      <c r="M66" s="39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0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0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0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2435-42A8-45A8-9BB1-4FCC39B52369}">
  <sheetPr codeName="Sheet7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203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  <c r="H1" s="173"/>
      <c r="I1" s="201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  <c r="H2" s="173"/>
      <c r="I2" s="201"/>
    </row>
    <row r="3" spans="1:22" ht="14.4" customHeight="1">
      <c r="A3" s="110" t="str" cm="1">
        <f t="array" aca="1" ref="A3" ca="1">CONCATENATE("SCOPE: ",MID(CELL("filename",A1),FIND("]",CELL("filename",A1))+1,255))</f>
        <v>SCOPE: Visual Displays</v>
      </c>
      <c r="B3" s="176"/>
      <c r="C3" s="110"/>
      <c r="D3" s="176"/>
      <c r="E3" s="110"/>
      <c r="F3" s="12"/>
      <c r="G3" s="173"/>
      <c r="H3" s="173"/>
      <c r="I3" s="201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  <c r="H4" s="173"/>
      <c r="I4" s="201"/>
    </row>
    <row r="5" spans="1:22" ht="14.4" customHeight="1">
      <c r="A5" s="333">
        <f ca="1">'summary sheet'!A5</f>
        <v>45940.587119212963</v>
      </c>
      <c r="B5" s="333"/>
      <c r="C5" s="3"/>
      <c r="D5" s="221"/>
      <c r="E5" s="111"/>
      <c r="F5" s="76"/>
      <c r="G5" s="173"/>
      <c r="H5" s="173"/>
      <c r="I5" s="201"/>
      <c r="R5" s="50"/>
      <c r="S5" s="50"/>
      <c r="T5" s="50"/>
    </row>
    <row r="6" spans="1:22">
      <c r="A6" s="6" t="s">
        <v>1</v>
      </c>
      <c r="B6" s="177"/>
      <c r="C6" s="19"/>
      <c r="D6" s="177"/>
      <c r="E6" s="19"/>
      <c r="F6" s="24"/>
      <c r="G6" s="174"/>
      <c r="H6" s="200"/>
      <c r="I6" s="303"/>
      <c r="J6" s="314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0"/>
      <c r="F8" s="26"/>
      <c r="G8" s="14"/>
      <c r="H8" s="14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5" customHeight="1" thickTop="1">
      <c r="A9" s="226">
        <v>1</v>
      </c>
      <c r="B9" s="178"/>
      <c r="C9" s="112"/>
      <c r="D9" s="261"/>
      <c r="E9" s="112"/>
      <c r="F9" s="262"/>
      <c r="G9" s="171"/>
      <c r="H9" s="171"/>
      <c r="I9" s="304">
        <f>'summary sheet'!$E$2</f>
        <v>120</v>
      </c>
      <c r="J9" s="301">
        <f>SUM(G9*H9)*I9</f>
        <v>0</v>
      </c>
      <c r="K9" s="187">
        <v>0</v>
      </c>
      <c r="L9" s="187">
        <v>0</v>
      </c>
      <c r="M9" s="187">
        <v>0</v>
      </c>
      <c r="N9" s="54">
        <f>J9</f>
        <v>0</v>
      </c>
      <c r="O9" s="55">
        <f t="shared" ref="O9" si="0">SUM(G9)*K9</f>
        <v>0</v>
      </c>
      <c r="P9" s="55">
        <f t="shared" ref="P9" si="1">SUM(L9)</f>
        <v>0</v>
      </c>
      <c r="Q9" s="56">
        <f t="shared" ref="Q9:Q58" si="2">SUM(G9)*M9</f>
        <v>0</v>
      </c>
      <c r="R9" s="77">
        <f t="shared" ref="R9:R10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5">
        <f>'summary sheet'!$E$2</f>
        <v>120</v>
      </c>
      <c r="J10" s="301">
        <f t="shared" ref="J10:J58" si="5">SUM(G10*H10)*I10</f>
        <v>0</v>
      </c>
      <c r="K10" s="187">
        <v>0</v>
      </c>
      <c r="L10" s="187">
        <v>0</v>
      </c>
      <c r="M10" s="187">
        <v>0</v>
      </c>
      <c r="N10" s="54">
        <f t="shared" ref="N10:N58" si="6">J10</f>
        <v>0</v>
      </c>
      <c r="O10" s="55">
        <f t="shared" ref="O10:O58" si="7">SUM(G10)*K10</f>
        <v>0</v>
      </c>
      <c r="P10" s="55">
        <f t="shared" ref="P10:P58" si="8">SUM(L10)</f>
        <v>0</v>
      </c>
      <c r="Q10" s="56">
        <f t="shared" si="2"/>
        <v>0</v>
      </c>
      <c r="R10" s="77">
        <f t="shared" si="3"/>
        <v>0</v>
      </c>
      <c r="S10" s="247" t="e">
        <f t="shared" ref="S10:S58" si="9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5">
        <f>'summary sheet'!$E$2</f>
        <v>120</v>
      </c>
      <c r="J11" s="301">
        <f t="shared" si="5"/>
        <v>0</v>
      </c>
      <c r="K11" s="187">
        <v>0</v>
      </c>
      <c r="L11" s="187">
        <v>0</v>
      </c>
      <c r="M11" s="187">
        <v>0</v>
      </c>
      <c r="N11" s="54">
        <f t="shared" si="6"/>
        <v>0</v>
      </c>
      <c r="O11" s="55">
        <f t="shared" si="7"/>
        <v>0</v>
      </c>
      <c r="P11" s="55">
        <f t="shared" si="8"/>
        <v>0</v>
      </c>
      <c r="Q11" s="56">
        <f t="shared" si="2"/>
        <v>0</v>
      </c>
      <c r="R11" s="77">
        <f>SUM(N11:Q11)</f>
        <v>0</v>
      </c>
      <c r="S11" s="247" t="e">
        <f t="shared" si="9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5">
        <f>'summary sheet'!$E$2</f>
        <v>120</v>
      </c>
      <c r="J12" s="301">
        <f t="shared" si="5"/>
        <v>0</v>
      </c>
      <c r="K12" s="187">
        <v>0</v>
      </c>
      <c r="L12" s="187">
        <v>0</v>
      </c>
      <c r="M12" s="187">
        <v>0</v>
      </c>
      <c r="N12" s="54">
        <f t="shared" si="6"/>
        <v>0</v>
      </c>
      <c r="O12" s="55">
        <f t="shared" si="7"/>
        <v>0</v>
      </c>
      <c r="P12" s="55">
        <f t="shared" si="8"/>
        <v>0</v>
      </c>
      <c r="Q12" s="56">
        <f t="shared" si="2"/>
        <v>0</v>
      </c>
      <c r="R12" s="77">
        <f t="shared" ref="R12:R58" si="10">SUM(N12:Q12)</f>
        <v>0</v>
      </c>
      <c r="S12" s="247" t="e">
        <f t="shared" si="9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5">
        <f>'summary sheet'!$E$2</f>
        <v>120</v>
      </c>
      <c r="J13" s="301">
        <f t="shared" si="5"/>
        <v>0</v>
      </c>
      <c r="K13" s="187">
        <v>0</v>
      </c>
      <c r="L13" s="187">
        <v>0</v>
      </c>
      <c r="M13" s="187">
        <v>0</v>
      </c>
      <c r="N13" s="54">
        <f t="shared" si="6"/>
        <v>0</v>
      </c>
      <c r="O13" s="55">
        <f t="shared" si="7"/>
        <v>0</v>
      </c>
      <c r="P13" s="55">
        <f t="shared" si="8"/>
        <v>0</v>
      </c>
      <c r="Q13" s="56">
        <f t="shared" si="2"/>
        <v>0</v>
      </c>
      <c r="R13" s="77">
        <f t="shared" si="10"/>
        <v>0</v>
      </c>
      <c r="S13" s="247" t="e">
        <f t="shared" si="9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5">
        <f>'summary sheet'!$E$2</f>
        <v>120</v>
      </c>
      <c r="J14" s="301">
        <f t="shared" si="5"/>
        <v>0</v>
      </c>
      <c r="K14" s="187">
        <v>0</v>
      </c>
      <c r="L14" s="187">
        <v>0</v>
      </c>
      <c r="M14" s="187">
        <v>0</v>
      </c>
      <c r="N14" s="54">
        <f t="shared" si="6"/>
        <v>0</v>
      </c>
      <c r="O14" s="55">
        <f t="shared" si="7"/>
        <v>0</v>
      </c>
      <c r="P14" s="55">
        <f t="shared" si="8"/>
        <v>0</v>
      </c>
      <c r="Q14" s="56">
        <f t="shared" si="2"/>
        <v>0</v>
      </c>
      <c r="R14" s="77">
        <f t="shared" si="10"/>
        <v>0</v>
      </c>
      <c r="S14" s="247" t="e">
        <f t="shared" si="9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5">
        <f>'summary sheet'!$E$2</f>
        <v>120</v>
      </c>
      <c r="J15" s="301">
        <f t="shared" si="5"/>
        <v>0</v>
      </c>
      <c r="K15" s="187">
        <v>0</v>
      </c>
      <c r="L15" s="187">
        <v>0</v>
      </c>
      <c r="M15" s="187">
        <v>0</v>
      </c>
      <c r="N15" s="54">
        <f t="shared" si="6"/>
        <v>0</v>
      </c>
      <c r="O15" s="55">
        <f t="shared" si="7"/>
        <v>0</v>
      </c>
      <c r="P15" s="55">
        <f t="shared" si="8"/>
        <v>0</v>
      </c>
      <c r="Q15" s="56">
        <f t="shared" si="2"/>
        <v>0</v>
      </c>
      <c r="R15" s="77">
        <f t="shared" si="10"/>
        <v>0</v>
      </c>
      <c r="S15" s="247" t="e">
        <f t="shared" si="9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5">
        <f>'summary sheet'!$E$2</f>
        <v>120</v>
      </c>
      <c r="J16" s="301">
        <f t="shared" si="5"/>
        <v>0</v>
      </c>
      <c r="K16" s="187">
        <v>0</v>
      </c>
      <c r="L16" s="187">
        <v>0</v>
      </c>
      <c r="M16" s="187">
        <v>0</v>
      </c>
      <c r="N16" s="54">
        <f t="shared" si="6"/>
        <v>0</v>
      </c>
      <c r="O16" s="55">
        <f t="shared" si="7"/>
        <v>0</v>
      </c>
      <c r="P16" s="55">
        <f t="shared" si="8"/>
        <v>0</v>
      </c>
      <c r="Q16" s="56">
        <f t="shared" si="2"/>
        <v>0</v>
      </c>
      <c r="R16" s="77">
        <f t="shared" si="10"/>
        <v>0</v>
      </c>
      <c r="S16" s="247" t="e">
        <f t="shared" si="9"/>
        <v>#DIV/0!</v>
      </c>
      <c r="T16" s="206" t="e">
        <f t="shared" si="4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5">
        <f>'summary sheet'!$E$2</f>
        <v>120</v>
      </c>
      <c r="J17" s="301">
        <f t="shared" si="5"/>
        <v>0</v>
      </c>
      <c r="K17" s="187">
        <v>0</v>
      </c>
      <c r="L17" s="187">
        <v>0</v>
      </c>
      <c r="M17" s="187">
        <v>0</v>
      </c>
      <c r="N17" s="54">
        <f t="shared" si="6"/>
        <v>0</v>
      </c>
      <c r="O17" s="55">
        <f t="shared" si="7"/>
        <v>0</v>
      </c>
      <c r="P17" s="55">
        <f t="shared" si="8"/>
        <v>0</v>
      </c>
      <c r="Q17" s="56">
        <f t="shared" si="2"/>
        <v>0</v>
      </c>
      <c r="R17" s="77">
        <f t="shared" si="10"/>
        <v>0</v>
      </c>
      <c r="S17" s="247" t="e">
        <f t="shared" si="9"/>
        <v>#DIV/0!</v>
      </c>
      <c r="T17" s="206" t="e">
        <f t="shared" si="4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5">
        <f>'summary sheet'!$E$2</f>
        <v>120</v>
      </c>
      <c r="J18" s="301">
        <f t="shared" si="5"/>
        <v>0</v>
      </c>
      <c r="K18" s="187">
        <v>0</v>
      </c>
      <c r="L18" s="187">
        <v>0</v>
      </c>
      <c r="M18" s="187">
        <v>0</v>
      </c>
      <c r="N18" s="54">
        <f t="shared" si="6"/>
        <v>0</v>
      </c>
      <c r="O18" s="55">
        <f t="shared" si="7"/>
        <v>0</v>
      </c>
      <c r="P18" s="55">
        <f t="shared" si="8"/>
        <v>0</v>
      </c>
      <c r="Q18" s="56">
        <f t="shared" si="2"/>
        <v>0</v>
      </c>
      <c r="R18" s="77">
        <f t="shared" si="10"/>
        <v>0</v>
      </c>
      <c r="S18" s="247" t="e">
        <f t="shared" si="9"/>
        <v>#DIV/0!</v>
      </c>
      <c r="T18" s="206" t="e">
        <f t="shared" si="4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5">
        <f>'summary sheet'!$E$2</f>
        <v>120</v>
      </c>
      <c r="J19" s="301">
        <f t="shared" si="5"/>
        <v>0</v>
      </c>
      <c r="K19" s="187">
        <v>0</v>
      </c>
      <c r="L19" s="187">
        <v>0</v>
      </c>
      <c r="M19" s="187">
        <v>0</v>
      </c>
      <c r="N19" s="54">
        <f t="shared" si="6"/>
        <v>0</v>
      </c>
      <c r="O19" s="55">
        <f t="shared" si="7"/>
        <v>0</v>
      </c>
      <c r="P19" s="55">
        <f t="shared" si="8"/>
        <v>0</v>
      </c>
      <c r="Q19" s="56">
        <f t="shared" si="2"/>
        <v>0</v>
      </c>
      <c r="R19" s="77">
        <f t="shared" si="10"/>
        <v>0</v>
      </c>
      <c r="S19" s="247" t="e">
        <f t="shared" si="9"/>
        <v>#DIV/0!</v>
      </c>
      <c r="T19" s="206" t="e">
        <f t="shared" si="4"/>
        <v>#DIV/0!</v>
      </c>
      <c r="U19" s="89"/>
    </row>
    <row r="20" spans="1:22">
      <c r="A20" s="226">
        <v>12</v>
      </c>
      <c r="B20" s="178"/>
      <c r="C20" s="112"/>
      <c r="D20" s="178"/>
      <c r="E20" s="112"/>
      <c r="F20" s="112"/>
      <c r="G20" s="171"/>
      <c r="H20" s="225"/>
      <c r="I20" s="305">
        <f>'summary sheet'!$E$2</f>
        <v>120</v>
      </c>
      <c r="J20" s="301">
        <f t="shared" si="5"/>
        <v>0</v>
      </c>
      <c r="K20" s="187">
        <v>0</v>
      </c>
      <c r="L20" s="187">
        <v>0</v>
      </c>
      <c r="M20" s="187">
        <v>0</v>
      </c>
      <c r="N20" s="54">
        <f t="shared" si="6"/>
        <v>0</v>
      </c>
      <c r="O20" s="55">
        <f t="shared" si="7"/>
        <v>0</v>
      </c>
      <c r="P20" s="55">
        <f t="shared" si="8"/>
        <v>0</v>
      </c>
      <c r="Q20" s="56">
        <f t="shared" si="2"/>
        <v>0</v>
      </c>
      <c r="R20" s="77">
        <f t="shared" si="10"/>
        <v>0</v>
      </c>
      <c r="S20" s="247" t="e">
        <f t="shared" si="9"/>
        <v>#DIV/0!</v>
      </c>
      <c r="T20" s="206" t="e">
        <f t="shared" si="4"/>
        <v>#DIV/0!</v>
      </c>
      <c r="U20" s="89"/>
    </row>
    <row r="21" spans="1:22">
      <c r="A21" s="226">
        <v>13</v>
      </c>
      <c r="B21" s="178"/>
      <c r="C21" s="112"/>
      <c r="D21" s="178"/>
      <c r="E21" s="112"/>
      <c r="F21" s="112"/>
      <c r="G21" s="171"/>
      <c r="H21" s="225"/>
      <c r="I21" s="305">
        <f>'summary sheet'!$E$2</f>
        <v>120</v>
      </c>
      <c r="J21" s="301">
        <f t="shared" si="5"/>
        <v>0</v>
      </c>
      <c r="K21" s="187">
        <v>0</v>
      </c>
      <c r="L21" s="187">
        <v>0</v>
      </c>
      <c r="M21" s="187">
        <v>0</v>
      </c>
      <c r="N21" s="54">
        <f t="shared" si="6"/>
        <v>0</v>
      </c>
      <c r="O21" s="55">
        <f t="shared" si="7"/>
        <v>0</v>
      </c>
      <c r="P21" s="55">
        <f t="shared" si="8"/>
        <v>0</v>
      </c>
      <c r="Q21" s="56">
        <f t="shared" si="2"/>
        <v>0</v>
      </c>
      <c r="R21" s="77">
        <f t="shared" si="10"/>
        <v>0</v>
      </c>
      <c r="S21" s="247" t="e">
        <f t="shared" si="9"/>
        <v>#DIV/0!</v>
      </c>
      <c r="T21" s="206" t="e">
        <f t="shared" si="4"/>
        <v>#DIV/0!</v>
      </c>
      <c r="U21" s="89"/>
    </row>
    <row r="22" spans="1:22">
      <c r="A22" s="226">
        <v>14</v>
      </c>
      <c r="B22" s="178"/>
      <c r="C22" s="112"/>
      <c r="D22" s="178"/>
      <c r="E22" s="112"/>
      <c r="F22" s="112"/>
      <c r="G22" s="171"/>
      <c r="H22" s="225"/>
      <c r="I22" s="305">
        <f>'summary sheet'!$E$2</f>
        <v>120</v>
      </c>
      <c r="J22" s="301">
        <f t="shared" si="5"/>
        <v>0</v>
      </c>
      <c r="K22" s="187">
        <v>0</v>
      </c>
      <c r="L22" s="187">
        <v>0</v>
      </c>
      <c r="M22" s="187">
        <v>0</v>
      </c>
      <c r="N22" s="54">
        <f t="shared" si="6"/>
        <v>0</v>
      </c>
      <c r="O22" s="55">
        <f t="shared" si="7"/>
        <v>0</v>
      </c>
      <c r="P22" s="55">
        <f t="shared" si="8"/>
        <v>0</v>
      </c>
      <c r="Q22" s="56">
        <f t="shared" si="2"/>
        <v>0</v>
      </c>
      <c r="R22" s="77">
        <f t="shared" si="10"/>
        <v>0</v>
      </c>
      <c r="S22" s="247" t="e">
        <f t="shared" si="9"/>
        <v>#DIV/0!</v>
      </c>
      <c r="T22" s="206" t="e">
        <f t="shared" si="4"/>
        <v>#DIV/0!</v>
      </c>
      <c r="U22" s="89"/>
    </row>
    <row r="23" spans="1:22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5">
        <f>'summary sheet'!$E$2</f>
        <v>120</v>
      </c>
      <c r="J23" s="301">
        <f t="shared" si="5"/>
        <v>0</v>
      </c>
      <c r="K23" s="187">
        <v>0</v>
      </c>
      <c r="L23" s="187">
        <v>0</v>
      </c>
      <c r="M23" s="187">
        <v>0</v>
      </c>
      <c r="N23" s="54">
        <f t="shared" si="6"/>
        <v>0</v>
      </c>
      <c r="O23" s="55">
        <f t="shared" si="7"/>
        <v>0</v>
      </c>
      <c r="P23" s="55">
        <f t="shared" si="8"/>
        <v>0</v>
      </c>
      <c r="Q23" s="56">
        <f t="shared" si="2"/>
        <v>0</v>
      </c>
      <c r="R23" s="77">
        <f t="shared" si="10"/>
        <v>0</v>
      </c>
      <c r="S23" s="247" t="e">
        <f t="shared" si="9"/>
        <v>#DIV/0!</v>
      </c>
      <c r="T23" s="206" t="e">
        <f t="shared" si="4"/>
        <v>#DIV/0!</v>
      </c>
      <c r="U23" s="89"/>
    </row>
    <row r="24" spans="1:22" hidden="1">
      <c r="A24" s="226">
        <v>16</v>
      </c>
      <c r="B24" s="178"/>
      <c r="C24" s="112"/>
      <c r="D24" s="178"/>
      <c r="E24" s="112"/>
      <c r="F24" s="112"/>
      <c r="G24" s="171"/>
      <c r="H24" s="225"/>
      <c r="I24" s="302">
        <f>'summary sheet'!$E$2</f>
        <v>120</v>
      </c>
      <c r="J24" s="301">
        <f t="shared" ref="J24:J30" si="11">SUM(I24*H24)*G24</f>
        <v>0</v>
      </c>
      <c r="K24" s="187">
        <v>0</v>
      </c>
      <c r="L24" s="187">
        <v>0</v>
      </c>
      <c r="M24" s="187">
        <v>0</v>
      </c>
      <c r="N24" s="54">
        <f t="shared" si="6"/>
        <v>0</v>
      </c>
      <c r="O24" s="55">
        <f t="shared" si="7"/>
        <v>0</v>
      </c>
      <c r="P24" s="55">
        <f t="shared" si="8"/>
        <v>0</v>
      </c>
      <c r="Q24" s="56">
        <f t="shared" ref="Q24:Q30" si="12">SUM(G24)*M24</f>
        <v>0</v>
      </c>
      <c r="R24" s="77">
        <f t="shared" ref="R24:R53" si="13">SUM(N24:Q24)</f>
        <v>0</v>
      </c>
      <c r="S24" s="247" t="e">
        <f t="shared" si="9"/>
        <v>#DIV/0!</v>
      </c>
      <c r="T24" s="206" t="e">
        <f t="shared" si="4"/>
        <v>#DIV/0!</v>
      </c>
      <c r="U24" s="89"/>
    </row>
    <row r="25" spans="1:22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2">
        <f>'summary sheet'!$E$2</f>
        <v>120</v>
      </c>
      <c r="J25" s="301">
        <f t="shared" si="11"/>
        <v>0</v>
      </c>
      <c r="K25" s="187">
        <v>0</v>
      </c>
      <c r="L25" s="187">
        <v>0</v>
      </c>
      <c r="M25" s="187">
        <v>0</v>
      </c>
      <c r="N25" s="54">
        <f t="shared" si="6"/>
        <v>0</v>
      </c>
      <c r="O25" s="55">
        <f t="shared" si="7"/>
        <v>0</v>
      </c>
      <c r="P25" s="55">
        <f t="shared" si="8"/>
        <v>0</v>
      </c>
      <c r="Q25" s="56">
        <f t="shared" si="12"/>
        <v>0</v>
      </c>
      <c r="R25" s="77">
        <f t="shared" si="13"/>
        <v>0</v>
      </c>
      <c r="S25" s="247" t="e">
        <f t="shared" si="9"/>
        <v>#DIV/0!</v>
      </c>
      <c r="T25" s="206" t="e">
        <f t="shared" si="4"/>
        <v>#DIV/0!</v>
      </c>
      <c r="U25" s="89"/>
    </row>
    <row r="26" spans="1:22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01">
        <f t="shared" si="11"/>
        <v>0</v>
      </c>
      <c r="K26" s="187">
        <v>0</v>
      </c>
      <c r="L26" s="187">
        <v>0</v>
      </c>
      <c r="M26" s="187">
        <v>0</v>
      </c>
      <c r="N26" s="54">
        <f t="shared" si="6"/>
        <v>0</v>
      </c>
      <c r="O26" s="55">
        <f t="shared" si="7"/>
        <v>0</v>
      </c>
      <c r="P26" s="55">
        <f t="shared" si="8"/>
        <v>0</v>
      </c>
      <c r="Q26" s="56">
        <f t="shared" si="12"/>
        <v>0</v>
      </c>
      <c r="R26" s="77">
        <f t="shared" si="13"/>
        <v>0</v>
      </c>
      <c r="S26" s="247" t="e">
        <f t="shared" si="9"/>
        <v>#DIV/0!</v>
      </c>
      <c r="T26" s="206" t="e">
        <f t="shared" si="4"/>
        <v>#DIV/0!</v>
      </c>
      <c r="U26" s="89"/>
    </row>
    <row r="27" spans="1:22" hidden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01">
        <f t="shared" si="11"/>
        <v>0</v>
      </c>
      <c r="K27" s="187">
        <v>0</v>
      </c>
      <c r="L27" s="187">
        <v>0</v>
      </c>
      <c r="M27" s="187">
        <v>0</v>
      </c>
      <c r="N27" s="54">
        <f t="shared" si="6"/>
        <v>0</v>
      </c>
      <c r="O27" s="55">
        <f t="shared" si="7"/>
        <v>0</v>
      </c>
      <c r="P27" s="55">
        <f t="shared" si="8"/>
        <v>0</v>
      </c>
      <c r="Q27" s="56">
        <f t="shared" si="12"/>
        <v>0</v>
      </c>
      <c r="R27" s="77">
        <f t="shared" si="13"/>
        <v>0</v>
      </c>
      <c r="S27" s="247" t="e">
        <f t="shared" si="9"/>
        <v>#DIV/0!</v>
      </c>
      <c r="T27" s="206" t="e">
        <f t="shared" si="4"/>
        <v>#DIV/0!</v>
      </c>
      <c r="U27" s="89"/>
    </row>
    <row r="28" spans="1:22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01">
        <f t="shared" si="11"/>
        <v>0</v>
      </c>
      <c r="K28" s="187">
        <v>0</v>
      </c>
      <c r="L28" s="187">
        <v>0</v>
      </c>
      <c r="M28" s="187">
        <v>0</v>
      </c>
      <c r="N28" s="54">
        <f t="shared" si="6"/>
        <v>0</v>
      </c>
      <c r="O28" s="55">
        <f t="shared" si="7"/>
        <v>0</v>
      </c>
      <c r="P28" s="55">
        <f t="shared" si="8"/>
        <v>0</v>
      </c>
      <c r="Q28" s="56">
        <f t="shared" si="12"/>
        <v>0</v>
      </c>
      <c r="R28" s="77">
        <f t="shared" si="13"/>
        <v>0</v>
      </c>
      <c r="S28" s="247" t="e">
        <f t="shared" si="9"/>
        <v>#DIV/0!</v>
      </c>
      <c r="T28" s="206" t="e">
        <f t="shared" si="4"/>
        <v>#DIV/0!</v>
      </c>
      <c r="U28" s="89"/>
    </row>
    <row r="29" spans="1:22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01">
        <f t="shared" si="11"/>
        <v>0</v>
      </c>
      <c r="K29" s="187">
        <v>0</v>
      </c>
      <c r="L29" s="187">
        <v>0</v>
      </c>
      <c r="M29" s="187">
        <v>0</v>
      </c>
      <c r="N29" s="54">
        <f t="shared" si="6"/>
        <v>0</v>
      </c>
      <c r="O29" s="55">
        <f t="shared" si="7"/>
        <v>0</v>
      </c>
      <c r="P29" s="55">
        <f t="shared" si="8"/>
        <v>0</v>
      </c>
      <c r="Q29" s="56">
        <f t="shared" si="12"/>
        <v>0</v>
      </c>
      <c r="R29" s="77">
        <f t="shared" si="13"/>
        <v>0</v>
      </c>
      <c r="S29" s="247" t="e">
        <f t="shared" si="9"/>
        <v>#DIV/0!</v>
      </c>
      <c r="T29" s="206" t="e">
        <f t="shared" si="4"/>
        <v>#DIV/0!</v>
      </c>
      <c r="U29" s="89"/>
    </row>
    <row r="30" spans="1:22" hidden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01">
        <f t="shared" si="11"/>
        <v>0</v>
      </c>
      <c r="K30" s="187">
        <v>0</v>
      </c>
      <c r="L30" s="187">
        <v>0</v>
      </c>
      <c r="M30" s="187">
        <v>0</v>
      </c>
      <c r="N30" s="54">
        <f t="shared" si="6"/>
        <v>0</v>
      </c>
      <c r="O30" s="55">
        <f t="shared" si="7"/>
        <v>0</v>
      </c>
      <c r="P30" s="55">
        <f t="shared" si="8"/>
        <v>0</v>
      </c>
      <c r="Q30" s="56">
        <f t="shared" si="12"/>
        <v>0</v>
      </c>
      <c r="R30" s="77">
        <f t="shared" si="13"/>
        <v>0</v>
      </c>
      <c r="S30" s="247" t="e">
        <f t="shared" si="9"/>
        <v>#DIV/0!</v>
      </c>
      <c r="T30" s="206" t="e">
        <f t="shared" si="4"/>
        <v>#DIV/0!</v>
      </c>
      <c r="U30" s="89"/>
    </row>
    <row r="31" spans="1:22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15">
        <f t="shared" ref="J31" si="14">SUM(H31*I31)*G31</f>
        <v>0</v>
      </c>
      <c r="K31" s="118">
        <v>0</v>
      </c>
      <c r="L31" s="118">
        <v>0</v>
      </c>
      <c r="M31" s="119">
        <v>0</v>
      </c>
      <c r="N31" s="54">
        <f t="shared" si="6"/>
        <v>0</v>
      </c>
      <c r="O31" s="55">
        <f t="shared" si="7"/>
        <v>0</v>
      </c>
      <c r="P31" s="55">
        <f t="shared" si="8"/>
        <v>0</v>
      </c>
      <c r="Q31" s="56">
        <f t="shared" ref="Q31" si="15">M31</f>
        <v>0</v>
      </c>
      <c r="R31" s="77">
        <f t="shared" si="13"/>
        <v>0</v>
      </c>
      <c r="S31" s="247" t="e">
        <f t="shared" si="9"/>
        <v>#DIV/0!</v>
      </c>
      <c r="T31" s="206" t="e">
        <f t="shared" si="4"/>
        <v>#DIV/0!</v>
      </c>
      <c r="U31" s="89"/>
    </row>
    <row r="32" spans="1:22" ht="12.75" hidden="1" customHeight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15">
        <f>SUM(H32*I32)*G32</f>
        <v>0</v>
      </c>
      <c r="K32" s="118">
        <v>0</v>
      </c>
      <c r="L32" s="118">
        <v>0</v>
      </c>
      <c r="M32" s="119">
        <v>0</v>
      </c>
      <c r="N32" s="54">
        <f>J32</f>
        <v>0</v>
      </c>
      <c r="O32" s="55">
        <f t="shared" si="7"/>
        <v>0</v>
      </c>
      <c r="P32" s="55">
        <f t="shared" si="8"/>
        <v>0</v>
      </c>
      <c r="Q32" s="56">
        <f>M32</f>
        <v>0</v>
      </c>
      <c r="R32" s="77">
        <f t="shared" si="13"/>
        <v>0</v>
      </c>
      <c r="S32" s="247" t="e">
        <f t="shared" si="9"/>
        <v>#DIV/0!</v>
      </c>
      <c r="T32" s="206" t="e">
        <f t="shared" si="4"/>
        <v>#DIV/0!</v>
      </c>
      <c r="U32" s="88"/>
      <c r="V32" s="51"/>
    </row>
    <row r="33" spans="1:22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>SUM(H33*I33)*G33</f>
        <v>0</v>
      </c>
      <c r="K33" s="118">
        <v>0</v>
      </c>
      <c r="L33" s="118">
        <v>0</v>
      </c>
      <c r="M33" s="119">
        <v>0</v>
      </c>
      <c r="N33" s="54">
        <f t="shared" ref="N33:N53" si="16">J33</f>
        <v>0</v>
      </c>
      <c r="O33" s="55">
        <f t="shared" si="7"/>
        <v>0</v>
      </c>
      <c r="P33" s="55">
        <f t="shared" si="8"/>
        <v>0</v>
      </c>
      <c r="Q33" s="56">
        <f t="shared" ref="Q33:Q53" si="17">M33</f>
        <v>0</v>
      </c>
      <c r="R33" s="77">
        <f t="shared" si="13"/>
        <v>0</v>
      </c>
      <c r="S33" s="247" t="e">
        <f t="shared" si="9"/>
        <v>#DIV/0!</v>
      </c>
      <c r="T33" s="206" t="e">
        <f t="shared" si="4"/>
        <v>#DIV/0!</v>
      </c>
      <c r="U33" s="89"/>
      <c r="V33" s="51"/>
    </row>
    <row r="34" spans="1:22" hidden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 t="shared" ref="J34:J53" si="18">SUM(H34*I34)*G34</f>
        <v>0</v>
      </c>
      <c r="K34" s="118">
        <v>0</v>
      </c>
      <c r="L34" s="118">
        <v>0</v>
      </c>
      <c r="M34" s="119">
        <v>0</v>
      </c>
      <c r="N34" s="54">
        <f t="shared" si="16"/>
        <v>0</v>
      </c>
      <c r="O34" s="55">
        <f t="shared" si="7"/>
        <v>0</v>
      </c>
      <c r="P34" s="55">
        <f t="shared" si="8"/>
        <v>0</v>
      </c>
      <c r="Q34" s="56">
        <f t="shared" si="17"/>
        <v>0</v>
      </c>
      <c r="R34" s="77">
        <f t="shared" si="13"/>
        <v>0</v>
      </c>
      <c r="S34" s="247" t="e">
        <f t="shared" si="9"/>
        <v>#DIV/0!</v>
      </c>
      <c r="T34" s="206" t="e">
        <f t="shared" si="4"/>
        <v>#DIV/0!</v>
      </c>
      <c r="U34" s="89"/>
    </row>
    <row r="35" spans="1:22" ht="13.2" hidden="1" customHeight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 t="shared" si="18"/>
        <v>0</v>
      </c>
      <c r="K35" s="118">
        <v>0</v>
      </c>
      <c r="L35" s="118">
        <v>0</v>
      </c>
      <c r="M35" s="119">
        <v>0</v>
      </c>
      <c r="N35" s="54">
        <f t="shared" si="16"/>
        <v>0</v>
      </c>
      <c r="O35" s="55">
        <f t="shared" si="7"/>
        <v>0</v>
      </c>
      <c r="P35" s="55">
        <f t="shared" si="8"/>
        <v>0</v>
      </c>
      <c r="Q35" s="56">
        <f t="shared" si="17"/>
        <v>0</v>
      </c>
      <c r="R35" s="77">
        <f t="shared" si="13"/>
        <v>0</v>
      </c>
      <c r="S35" s="247" t="e">
        <f t="shared" si="9"/>
        <v>#DIV/0!</v>
      </c>
      <c r="T35" s="206" t="e">
        <f t="shared" si="4"/>
        <v>#DIV/0!</v>
      </c>
      <c r="U35" s="89"/>
    </row>
    <row r="36" spans="1:22" ht="13.2" hidden="1" customHeight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si="18"/>
        <v>0</v>
      </c>
      <c r="K36" s="118">
        <v>0</v>
      </c>
      <c r="L36" s="118">
        <v>0</v>
      </c>
      <c r="M36" s="119">
        <v>0</v>
      </c>
      <c r="N36" s="54">
        <f t="shared" si="16"/>
        <v>0</v>
      </c>
      <c r="O36" s="55">
        <f t="shared" si="7"/>
        <v>0</v>
      </c>
      <c r="P36" s="55">
        <f t="shared" si="8"/>
        <v>0</v>
      </c>
      <c r="Q36" s="56">
        <f t="shared" si="17"/>
        <v>0</v>
      </c>
      <c r="R36" s="77">
        <f t="shared" si="13"/>
        <v>0</v>
      </c>
      <c r="S36" s="247" t="e">
        <f t="shared" si="9"/>
        <v>#DIV/0!</v>
      </c>
      <c r="T36" s="206" t="e">
        <f t="shared" si="4"/>
        <v>#DIV/0!</v>
      </c>
      <c r="U36" s="89"/>
    </row>
    <row r="37" spans="1:22" ht="13.2" hidden="1" customHeight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8"/>
        <v>0</v>
      </c>
      <c r="K37" s="118">
        <v>0</v>
      </c>
      <c r="L37" s="118">
        <v>0</v>
      </c>
      <c r="M37" s="119">
        <v>0</v>
      </c>
      <c r="N37" s="54">
        <f t="shared" si="16"/>
        <v>0</v>
      </c>
      <c r="O37" s="55">
        <f t="shared" si="7"/>
        <v>0</v>
      </c>
      <c r="P37" s="55">
        <f t="shared" si="8"/>
        <v>0</v>
      </c>
      <c r="Q37" s="56">
        <f t="shared" si="17"/>
        <v>0</v>
      </c>
      <c r="R37" s="77">
        <f t="shared" si="13"/>
        <v>0</v>
      </c>
      <c r="S37" s="247" t="e">
        <f t="shared" si="9"/>
        <v>#DIV/0!</v>
      </c>
      <c r="T37" s="206" t="e">
        <f t="shared" si="4"/>
        <v>#DIV/0!</v>
      </c>
      <c r="U37" s="89"/>
    </row>
    <row r="38" spans="1:22" ht="13.2" hidden="1" customHeight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8"/>
        <v>0</v>
      </c>
      <c r="K38" s="118">
        <v>0</v>
      </c>
      <c r="L38" s="118">
        <v>0</v>
      </c>
      <c r="M38" s="119">
        <v>0</v>
      </c>
      <c r="N38" s="54">
        <f t="shared" si="16"/>
        <v>0</v>
      </c>
      <c r="O38" s="55">
        <f t="shared" si="7"/>
        <v>0</v>
      </c>
      <c r="P38" s="55">
        <f t="shared" si="8"/>
        <v>0</v>
      </c>
      <c r="Q38" s="56">
        <f t="shared" si="17"/>
        <v>0</v>
      </c>
      <c r="R38" s="77">
        <f t="shared" si="13"/>
        <v>0</v>
      </c>
      <c r="S38" s="247" t="e">
        <f t="shared" si="9"/>
        <v>#DIV/0!</v>
      </c>
      <c r="T38" s="206" t="e">
        <f t="shared" si="4"/>
        <v>#DIV/0!</v>
      </c>
      <c r="U38" s="89"/>
    </row>
    <row r="39" spans="1:22" hidden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8"/>
        <v>0</v>
      </c>
      <c r="K39" s="118">
        <v>0</v>
      </c>
      <c r="L39" s="118">
        <v>0</v>
      </c>
      <c r="M39" s="119">
        <v>0</v>
      </c>
      <c r="N39" s="54">
        <f t="shared" si="16"/>
        <v>0</v>
      </c>
      <c r="O39" s="55">
        <f t="shared" si="7"/>
        <v>0</v>
      </c>
      <c r="P39" s="55">
        <f t="shared" si="8"/>
        <v>0</v>
      </c>
      <c r="Q39" s="56">
        <f t="shared" si="17"/>
        <v>0</v>
      </c>
      <c r="R39" s="77">
        <f t="shared" si="13"/>
        <v>0</v>
      </c>
      <c r="S39" s="247" t="e">
        <f t="shared" si="9"/>
        <v>#DIV/0!</v>
      </c>
      <c r="T39" s="206" t="e">
        <f t="shared" si="4"/>
        <v>#DIV/0!</v>
      </c>
      <c r="U39" s="89"/>
    </row>
    <row r="40" spans="1:22" hidden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8"/>
        <v>0</v>
      </c>
      <c r="K40" s="118">
        <v>0</v>
      </c>
      <c r="L40" s="118">
        <v>0</v>
      </c>
      <c r="M40" s="119">
        <v>0</v>
      </c>
      <c r="N40" s="54">
        <f t="shared" si="16"/>
        <v>0</v>
      </c>
      <c r="O40" s="55">
        <f t="shared" si="7"/>
        <v>0</v>
      </c>
      <c r="P40" s="55">
        <f t="shared" si="8"/>
        <v>0</v>
      </c>
      <c r="Q40" s="56">
        <f t="shared" si="17"/>
        <v>0</v>
      </c>
      <c r="R40" s="77">
        <f t="shared" si="13"/>
        <v>0</v>
      </c>
      <c r="S40" s="247" t="e">
        <f t="shared" si="9"/>
        <v>#DIV/0!</v>
      </c>
      <c r="T40" s="206" t="e">
        <f t="shared" si="4"/>
        <v>#DIV/0!</v>
      </c>
      <c r="U40" s="89"/>
    </row>
    <row r="41" spans="1:22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8"/>
        <v>0</v>
      </c>
      <c r="K41" s="118">
        <v>0</v>
      </c>
      <c r="L41" s="118">
        <v>0</v>
      </c>
      <c r="M41" s="119">
        <v>0</v>
      </c>
      <c r="N41" s="54">
        <f t="shared" si="16"/>
        <v>0</v>
      </c>
      <c r="O41" s="55">
        <f t="shared" si="7"/>
        <v>0</v>
      </c>
      <c r="P41" s="55">
        <f t="shared" si="8"/>
        <v>0</v>
      </c>
      <c r="Q41" s="56">
        <f t="shared" si="17"/>
        <v>0</v>
      </c>
      <c r="R41" s="77">
        <f t="shared" si="13"/>
        <v>0</v>
      </c>
      <c r="S41" s="247" t="e">
        <f t="shared" si="9"/>
        <v>#DIV/0!</v>
      </c>
      <c r="T41" s="206" t="e">
        <f t="shared" si="4"/>
        <v>#DIV/0!</v>
      </c>
      <c r="U41" s="89"/>
    </row>
    <row r="42" spans="1:22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8"/>
        <v>0</v>
      </c>
      <c r="K42" s="118">
        <v>0</v>
      </c>
      <c r="L42" s="118">
        <v>0</v>
      </c>
      <c r="M42" s="119">
        <v>0</v>
      </c>
      <c r="N42" s="54">
        <f t="shared" si="16"/>
        <v>0</v>
      </c>
      <c r="O42" s="55">
        <f t="shared" si="7"/>
        <v>0</v>
      </c>
      <c r="P42" s="55">
        <f t="shared" si="8"/>
        <v>0</v>
      </c>
      <c r="Q42" s="56">
        <f t="shared" si="17"/>
        <v>0</v>
      </c>
      <c r="R42" s="77">
        <f t="shared" si="13"/>
        <v>0</v>
      </c>
      <c r="S42" s="247" t="e">
        <f t="shared" si="9"/>
        <v>#DIV/0!</v>
      </c>
      <c r="T42" s="206" t="e">
        <f t="shared" si="4"/>
        <v>#DIV/0!</v>
      </c>
      <c r="U42" s="89"/>
    </row>
    <row r="43" spans="1:22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8"/>
        <v>0</v>
      </c>
      <c r="K43" s="118">
        <v>0</v>
      </c>
      <c r="L43" s="118">
        <v>0</v>
      </c>
      <c r="M43" s="119">
        <v>0</v>
      </c>
      <c r="N43" s="54">
        <f t="shared" si="16"/>
        <v>0</v>
      </c>
      <c r="O43" s="55">
        <f t="shared" si="7"/>
        <v>0</v>
      </c>
      <c r="P43" s="55">
        <f t="shared" si="8"/>
        <v>0</v>
      </c>
      <c r="Q43" s="56">
        <f t="shared" si="17"/>
        <v>0</v>
      </c>
      <c r="R43" s="77">
        <f t="shared" si="13"/>
        <v>0</v>
      </c>
      <c r="S43" s="247" t="e">
        <f t="shared" si="9"/>
        <v>#DIV/0!</v>
      </c>
      <c r="T43" s="206" t="e">
        <f t="shared" si="4"/>
        <v>#DIV/0!</v>
      </c>
      <c r="U43" s="89"/>
    </row>
    <row r="44" spans="1:22" ht="13.2" hidden="1" customHeight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8"/>
        <v>0</v>
      </c>
      <c r="K44" s="118">
        <v>0</v>
      </c>
      <c r="L44" s="118">
        <v>0</v>
      </c>
      <c r="M44" s="119">
        <v>0</v>
      </c>
      <c r="N44" s="54">
        <f t="shared" si="16"/>
        <v>0</v>
      </c>
      <c r="O44" s="55">
        <f t="shared" si="7"/>
        <v>0</v>
      </c>
      <c r="P44" s="55">
        <f t="shared" si="8"/>
        <v>0</v>
      </c>
      <c r="Q44" s="56">
        <f t="shared" si="17"/>
        <v>0</v>
      </c>
      <c r="R44" s="77">
        <f t="shared" si="13"/>
        <v>0</v>
      </c>
      <c r="S44" s="247" t="e">
        <f t="shared" si="9"/>
        <v>#DIV/0!</v>
      </c>
      <c r="T44" s="206" t="e">
        <f t="shared" si="4"/>
        <v>#DIV/0!</v>
      </c>
      <c r="U44" s="89"/>
    </row>
    <row r="45" spans="1:22" ht="13.2" hidden="1" customHeight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8"/>
        <v>0</v>
      </c>
      <c r="K45" s="118">
        <v>0</v>
      </c>
      <c r="L45" s="118">
        <v>0</v>
      </c>
      <c r="M45" s="119">
        <v>0</v>
      </c>
      <c r="N45" s="54">
        <f t="shared" si="16"/>
        <v>0</v>
      </c>
      <c r="O45" s="55">
        <f t="shared" si="7"/>
        <v>0</v>
      </c>
      <c r="P45" s="55">
        <f t="shared" si="8"/>
        <v>0</v>
      </c>
      <c r="Q45" s="56">
        <f t="shared" si="17"/>
        <v>0</v>
      </c>
      <c r="R45" s="77">
        <f t="shared" si="13"/>
        <v>0</v>
      </c>
      <c r="S45" s="247" t="e">
        <f t="shared" si="9"/>
        <v>#DIV/0!</v>
      </c>
      <c r="T45" s="206" t="e">
        <f t="shared" si="4"/>
        <v>#DIV/0!</v>
      </c>
      <c r="U45" s="89"/>
    </row>
    <row r="46" spans="1:22" ht="13.2" hidden="1" customHeight="1">
      <c r="A46" s="226">
        <v>38</v>
      </c>
      <c r="B46" s="178"/>
      <c r="C46" s="112"/>
      <c r="D46" s="178"/>
      <c r="E46" s="112"/>
      <c r="F46" s="112"/>
      <c r="G46" s="171"/>
      <c r="H46" s="225"/>
      <c r="I46" s="302">
        <f>'summary sheet'!$E$2</f>
        <v>120</v>
      </c>
      <c r="J46" s="315">
        <f t="shared" si="18"/>
        <v>0</v>
      </c>
      <c r="K46" s="118">
        <v>0</v>
      </c>
      <c r="L46" s="118">
        <v>0</v>
      </c>
      <c r="M46" s="119">
        <v>0</v>
      </c>
      <c r="N46" s="54">
        <f t="shared" si="16"/>
        <v>0</v>
      </c>
      <c r="O46" s="55">
        <f t="shared" si="7"/>
        <v>0</v>
      </c>
      <c r="P46" s="55">
        <f t="shared" si="8"/>
        <v>0</v>
      </c>
      <c r="Q46" s="56">
        <f t="shared" si="17"/>
        <v>0</v>
      </c>
      <c r="R46" s="77">
        <f t="shared" si="13"/>
        <v>0</v>
      </c>
      <c r="S46" s="247" t="e">
        <f t="shared" si="9"/>
        <v>#DIV/0!</v>
      </c>
      <c r="T46" s="206" t="e">
        <f t="shared" si="4"/>
        <v>#DIV/0!</v>
      </c>
      <c r="U46" s="89"/>
    </row>
    <row r="47" spans="1:22" ht="13.2" hidden="1" customHeight="1">
      <c r="A47" s="226">
        <v>39</v>
      </c>
      <c r="B47" s="178"/>
      <c r="C47" s="112"/>
      <c r="D47" s="178"/>
      <c r="E47" s="112"/>
      <c r="F47" s="112"/>
      <c r="G47" s="171"/>
      <c r="H47" s="225"/>
      <c r="I47" s="302">
        <f>'summary sheet'!$E$2</f>
        <v>120</v>
      </c>
      <c r="J47" s="315">
        <f t="shared" si="18"/>
        <v>0</v>
      </c>
      <c r="K47" s="118">
        <v>0</v>
      </c>
      <c r="L47" s="118">
        <v>0</v>
      </c>
      <c r="M47" s="119">
        <v>0</v>
      </c>
      <c r="N47" s="54">
        <f t="shared" si="16"/>
        <v>0</v>
      </c>
      <c r="O47" s="55">
        <f t="shared" si="7"/>
        <v>0</v>
      </c>
      <c r="P47" s="55">
        <f t="shared" si="8"/>
        <v>0</v>
      </c>
      <c r="Q47" s="56">
        <f t="shared" si="17"/>
        <v>0</v>
      </c>
      <c r="R47" s="77">
        <f t="shared" si="13"/>
        <v>0</v>
      </c>
      <c r="S47" s="247" t="e">
        <f t="shared" si="9"/>
        <v>#DIV/0!</v>
      </c>
      <c r="T47" s="206" t="e">
        <f t="shared" si="4"/>
        <v>#DIV/0!</v>
      </c>
      <c r="U47" s="89"/>
    </row>
    <row r="48" spans="1:22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2">
        <f>'summary sheet'!$E$2</f>
        <v>120</v>
      </c>
      <c r="J48" s="315">
        <f t="shared" si="18"/>
        <v>0</v>
      </c>
      <c r="K48" s="118">
        <v>0</v>
      </c>
      <c r="L48" s="118">
        <v>0</v>
      </c>
      <c r="M48" s="119">
        <v>0</v>
      </c>
      <c r="N48" s="54">
        <f t="shared" si="16"/>
        <v>0</v>
      </c>
      <c r="O48" s="55">
        <f t="shared" si="7"/>
        <v>0</v>
      </c>
      <c r="P48" s="55">
        <f t="shared" si="8"/>
        <v>0</v>
      </c>
      <c r="Q48" s="56">
        <f t="shared" si="17"/>
        <v>0</v>
      </c>
      <c r="R48" s="77">
        <f t="shared" si="13"/>
        <v>0</v>
      </c>
      <c r="S48" s="247" t="e">
        <f t="shared" si="9"/>
        <v>#DIV/0!</v>
      </c>
      <c r="T48" s="206" t="e">
        <f t="shared" si="4"/>
        <v>#DIV/0!</v>
      </c>
      <c r="U48" s="89"/>
    </row>
    <row r="49" spans="1:21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2">
        <f>'summary sheet'!$E$2</f>
        <v>120</v>
      </c>
      <c r="J49" s="315">
        <f t="shared" si="18"/>
        <v>0</v>
      </c>
      <c r="K49" s="118">
        <v>0</v>
      </c>
      <c r="L49" s="118">
        <v>0</v>
      </c>
      <c r="M49" s="119">
        <v>0</v>
      </c>
      <c r="N49" s="54">
        <f t="shared" si="16"/>
        <v>0</v>
      </c>
      <c r="O49" s="55">
        <f t="shared" si="7"/>
        <v>0</v>
      </c>
      <c r="P49" s="55">
        <f t="shared" si="8"/>
        <v>0</v>
      </c>
      <c r="Q49" s="56">
        <f t="shared" si="17"/>
        <v>0</v>
      </c>
      <c r="R49" s="77">
        <f t="shared" si="13"/>
        <v>0</v>
      </c>
      <c r="S49" s="247" t="e">
        <f t="shared" si="9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2">
        <f>'summary sheet'!$E$2</f>
        <v>120</v>
      </c>
      <c r="J50" s="315">
        <f t="shared" si="18"/>
        <v>0</v>
      </c>
      <c r="K50" s="118">
        <v>0</v>
      </c>
      <c r="L50" s="118">
        <v>0</v>
      </c>
      <c r="M50" s="119">
        <v>0</v>
      </c>
      <c r="N50" s="54">
        <f t="shared" si="16"/>
        <v>0</v>
      </c>
      <c r="O50" s="55">
        <f t="shared" si="7"/>
        <v>0</v>
      </c>
      <c r="P50" s="55">
        <f t="shared" si="8"/>
        <v>0</v>
      </c>
      <c r="Q50" s="56">
        <f t="shared" si="17"/>
        <v>0</v>
      </c>
      <c r="R50" s="77">
        <f t="shared" si="13"/>
        <v>0</v>
      </c>
      <c r="S50" s="247" t="e">
        <f t="shared" si="9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2">
        <f>'summary sheet'!$E$2</f>
        <v>120</v>
      </c>
      <c r="J51" s="315">
        <f t="shared" si="18"/>
        <v>0</v>
      </c>
      <c r="K51" s="118">
        <v>0</v>
      </c>
      <c r="L51" s="118">
        <v>0</v>
      </c>
      <c r="M51" s="119">
        <v>0</v>
      </c>
      <c r="N51" s="54">
        <f t="shared" si="16"/>
        <v>0</v>
      </c>
      <c r="O51" s="55">
        <f t="shared" si="7"/>
        <v>0</v>
      </c>
      <c r="P51" s="55">
        <f t="shared" si="8"/>
        <v>0</v>
      </c>
      <c r="Q51" s="56">
        <f t="shared" si="17"/>
        <v>0</v>
      </c>
      <c r="R51" s="77">
        <f t="shared" si="13"/>
        <v>0</v>
      </c>
      <c r="S51" s="247" t="e">
        <f t="shared" si="9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2">
        <f>'summary sheet'!$E$2</f>
        <v>120</v>
      </c>
      <c r="J52" s="315">
        <f t="shared" si="18"/>
        <v>0</v>
      </c>
      <c r="K52" s="118">
        <v>0</v>
      </c>
      <c r="L52" s="118">
        <v>0</v>
      </c>
      <c r="M52" s="119">
        <v>0</v>
      </c>
      <c r="N52" s="54">
        <f t="shared" si="16"/>
        <v>0</v>
      </c>
      <c r="O52" s="55">
        <f t="shared" si="7"/>
        <v>0</v>
      </c>
      <c r="P52" s="55">
        <f t="shared" si="8"/>
        <v>0</v>
      </c>
      <c r="Q52" s="56">
        <f t="shared" si="17"/>
        <v>0</v>
      </c>
      <c r="R52" s="77">
        <f t="shared" si="13"/>
        <v>0</v>
      </c>
      <c r="S52" s="247" t="e">
        <f t="shared" si="9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2">
        <f>'summary sheet'!$E$2</f>
        <v>120</v>
      </c>
      <c r="J53" s="315">
        <f t="shared" si="18"/>
        <v>0</v>
      </c>
      <c r="K53" s="118">
        <v>0</v>
      </c>
      <c r="L53" s="118">
        <v>0</v>
      </c>
      <c r="M53" s="119">
        <v>0</v>
      </c>
      <c r="N53" s="54">
        <f t="shared" si="16"/>
        <v>0</v>
      </c>
      <c r="O53" s="55">
        <f t="shared" si="7"/>
        <v>0</v>
      </c>
      <c r="P53" s="55">
        <f t="shared" si="8"/>
        <v>0</v>
      </c>
      <c r="Q53" s="56">
        <f t="shared" si="17"/>
        <v>0</v>
      </c>
      <c r="R53" s="77">
        <f t="shared" si="13"/>
        <v>0</v>
      </c>
      <c r="S53" s="247" t="e">
        <f t="shared" si="9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5">
        <f>'summary sheet'!$E$2</f>
        <v>120</v>
      </c>
      <c r="J54" s="301">
        <f t="shared" si="5"/>
        <v>0</v>
      </c>
      <c r="K54" s="187">
        <v>0</v>
      </c>
      <c r="L54" s="187">
        <v>0</v>
      </c>
      <c r="M54" s="187">
        <v>0</v>
      </c>
      <c r="N54" s="54">
        <f t="shared" si="6"/>
        <v>0</v>
      </c>
      <c r="O54" s="55">
        <f t="shared" si="7"/>
        <v>0</v>
      </c>
      <c r="P54" s="55">
        <f t="shared" si="8"/>
        <v>0</v>
      </c>
      <c r="Q54" s="56">
        <f t="shared" si="2"/>
        <v>0</v>
      </c>
      <c r="R54" s="77">
        <f t="shared" si="10"/>
        <v>0</v>
      </c>
      <c r="S54" s="247" t="e">
        <f t="shared" si="9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5">
        <f>'summary sheet'!$E$2</f>
        <v>120</v>
      </c>
      <c r="J55" s="301">
        <f t="shared" si="5"/>
        <v>0</v>
      </c>
      <c r="K55" s="187">
        <v>0</v>
      </c>
      <c r="L55" s="187">
        <v>0</v>
      </c>
      <c r="M55" s="187">
        <v>0</v>
      </c>
      <c r="N55" s="54">
        <f t="shared" si="6"/>
        <v>0</v>
      </c>
      <c r="O55" s="55">
        <f t="shared" si="7"/>
        <v>0</v>
      </c>
      <c r="P55" s="55">
        <f t="shared" si="8"/>
        <v>0</v>
      </c>
      <c r="Q55" s="56">
        <f t="shared" si="2"/>
        <v>0</v>
      </c>
      <c r="R55" s="77">
        <f t="shared" si="10"/>
        <v>0</v>
      </c>
      <c r="S55" s="247" t="e">
        <f t="shared" si="9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5">
        <f>'summary sheet'!$E$2</f>
        <v>120</v>
      </c>
      <c r="J56" s="301">
        <f t="shared" si="5"/>
        <v>0</v>
      </c>
      <c r="K56" s="187">
        <v>0</v>
      </c>
      <c r="L56" s="187">
        <v>0</v>
      </c>
      <c r="M56" s="187">
        <v>0</v>
      </c>
      <c r="N56" s="54">
        <f t="shared" si="6"/>
        <v>0</v>
      </c>
      <c r="O56" s="55">
        <f t="shared" si="7"/>
        <v>0</v>
      </c>
      <c r="P56" s="55">
        <f t="shared" si="8"/>
        <v>0</v>
      </c>
      <c r="Q56" s="56">
        <f t="shared" si="2"/>
        <v>0</v>
      </c>
      <c r="R56" s="77">
        <f t="shared" si="10"/>
        <v>0</v>
      </c>
      <c r="S56" s="247" t="e">
        <f t="shared" si="9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5">
        <f>'summary sheet'!$E$2</f>
        <v>120</v>
      </c>
      <c r="J57" s="301">
        <f t="shared" si="5"/>
        <v>0</v>
      </c>
      <c r="K57" s="187">
        <v>0</v>
      </c>
      <c r="L57" s="187">
        <v>0</v>
      </c>
      <c r="M57" s="187">
        <v>0</v>
      </c>
      <c r="N57" s="54">
        <f t="shared" si="6"/>
        <v>0</v>
      </c>
      <c r="O57" s="55">
        <f t="shared" si="7"/>
        <v>0</v>
      </c>
      <c r="P57" s="55">
        <f t="shared" si="8"/>
        <v>0</v>
      </c>
      <c r="Q57" s="56">
        <f t="shared" si="2"/>
        <v>0</v>
      </c>
      <c r="R57" s="77">
        <f t="shared" si="10"/>
        <v>0</v>
      </c>
      <c r="S57" s="247" t="e">
        <f t="shared" si="9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5">
        <f>'summary sheet'!$E$2</f>
        <v>120</v>
      </c>
      <c r="J58" s="301">
        <f t="shared" si="5"/>
        <v>0</v>
      </c>
      <c r="K58" s="187">
        <v>0</v>
      </c>
      <c r="L58" s="187">
        <v>0</v>
      </c>
      <c r="M58" s="187">
        <v>0</v>
      </c>
      <c r="N58" s="54">
        <f t="shared" si="6"/>
        <v>0</v>
      </c>
      <c r="O58" s="55">
        <f t="shared" si="7"/>
        <v>0</v>
      </c>
      <c r="P58" s="55">
        <f t="shared" si="8"/>
        <v>0</v>
      </c>
      <c r="Q58" s="56">
        <f t="shared" si="2"/>
        <v>0</v>
      </c>
      <c r="R58" s="77">
        <f t="shared" si="10"/>
        <v>0</v>
      </c>
      <c r="S58" s="247" t="e">
        <f t="shared" si="9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202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202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202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19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202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202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0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0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0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E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E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E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E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E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49" customWidth="1"/>
    <col min="3" max="3" width="17.6640625" style="49" customWidth="1"/>
    <col min="4" max="4" width="8.6640625" style="4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51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10"/>
      <c r="C1" s="110"/>
      <c r="D1" s="110"/>
      <c r="E1" s="110"/>
      <c r="F1" s="12"/>
      <c r="G1" s="173"/>
      <c r="H1" s="173"/>
    </row>
    <row r="2" spans="1:22" ht="14.4" customHeight="1">
      <c r="A2" s="110" t="str">
        <f>'summary sheet'!A2:A2</f>
        <v xml:space="preserve">SHIP TO:  </v>
      </c>
      <c r="B2" s="110"/>
      <c r="C2" s="110"/>
      <c r="D2" s="110"/>
      <c r="E2" s="110"/>
      <c r="F2" s="12"/>
      <c r="G2" s="173"/>
      <c r="H2" s="173"/>
    </row>
    <row r="3" spans="1:22" ht="14.4" customHeight="1">
      <c r="A3" s="110" t="str" cm="1">
        <f t="array" aca="1" ref="A3" ca="1">CONCATENATE("SCOPE: ",MID(CELL("filename",A1),FIND("]",CELL("filename",A1))+1,255))</f>
        <v>SCOPE: FEC</v>
      </c>
      <c r="B3" s="110"/>
      <c r="C3" s="110"/>
      <c r="D3" s="110"/>
      <c r="E3" s="110"/>
      <c r="F3" s="12"/>
      <c r="G3" s="173"/>
      <c r="H3" s="173"/>
    </row>
    <row r="4" spans="1:22" ht="14.4" customHeight="1">
      <c r="A4" s="110" t="str">
        <f>'summary sheet'!A4</f>
        <v xml:space="preserve">BID INFO:  </v>
      </c>
      <c r="B4" s="110"/>
      <c r="C4" s="110"/>
      <c r="D4" s="110"/>
      <c r="E4" s="110"/>
      <c r="F4" s="12"/>
      <c r="G4" s="173"/>
      <c r="H4" s="173"/>
    </row>
    <row r="5" spans="1:22" ht="14.4" customHeight="1">
      <c r="A5" s="333">
        <f ca="1">'summary sheet'!A5</f>
        <v>45940.587119212963</v>
      </c>
      <c r="B5" s="333"/>
      <c r="C5" s="111"/>
      <c r="D5" s="111"/>
      <c r="E5" s="111"/>
      <c r="F5" s="76"/>
      <c r="G5" s="173"/>
      <c r="H5" s="173"/>
      <c r="R5" s="50"/>
      <c r="S5" s="50"/>
      <c r="T5" s="50"/>
    </row>
    <row r="6" spans="1:22">
      <c r="A6" s="6" t="s">
        <v>1</v>
      </c>
      <c r="B6" s="19"/>
      <c r="C6" s="19"/>
      <c r="D6" s="19"/>
      <c r="E6" s="22"/>
      <c r="F6" s="24"/>
      <c r="G6" s="174"/>
      <c r="H6" s="200"/>
      <c r="I6" s="297"/>
      <c r="J6" s="314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0"/>
      <c r="C8" s="20"/>
      <c r="D8" s="20"/>
      <c r="E8" s="23"/>
      <c r="F8" s="26"/>
      <c r="G8" s="14"/>
      <c r="H8" s="14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8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01">
        <f>SUM(G9*H9)*I9</f>
        <v>0</v>
      </c>
      <c r="K9" s="187">
        <v>0</v>
      </c>
      <c r="L9" s="187">
        <v>0</v>
      </c>
      <c r="M9" s="187">
        <v>0</v>
      </c>
      <c r="N9" s="54">
        <f>J9</f>
        <v>0</v>
      </c>
      <c r="O9" s="55">
        <f t="shared" ref="O9" si="0">SUM(G9)*K9</f>
        <v>0</v>
      </c>
      <c r="P9" s="55">
        <f t="shared" ref="P9" si="1">SUM(L9)</f>
        <v>0</v>
      </c>
      <c r="Q9" s="56">
        <f t="shared" ref="Q9:Q10" si="2">SUM(G9)*M9</f>
        <v>0</v>
      </c>
      <c r="R9" s="77">
        <f t="shared" ref="R9:R10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01">
        <f t="shared" ref="J10:J58" si="5">SUM(G10*H10)*I10</f>
        <v>0</v>
      </c>
      <c r="K10" s="187">
        <v>0</v>
      </c>
      <c r="L10" s="187">
        <v>0</v>
      </c>
      <c r="M10" s="187">
        <v>0</v>
      </c>
      <c r="N10" s="54">
        <f t="shared" ref="N10:N58" si="6">J10</f>
        <v>0</v>
      </c>
      <c r="O10" s="55">
        <f t="shared" ref="O10:O58" si="7">SUM(G10)*K10</f>
        <v>0</v>
      </c>
      <c r="P10" s="55">
        <f t="shared" ref="P10:P58" si="8">SUM(L10)</f>
        <v>0</v>
      </c>
      <c r="Q10" s="56">
        <f t="shared" si="2"/>
        <v>0</v>
      </c>
      <c r="R10" s="77">
        <f t="shared" si="3"/>
        <v>0</v>
      </c>
      <c r="S10" s="247" t="e">
        <f t="shared" ref="S10:S58" si="9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01">
        <f t="shared" si="5"/>
        <v>0</v>
      </c>
      <c r="K11" s="187">
        <v>0</v>
      </c>
      <c r="L11" s="187">
        <v>0</v>
      </c>
      <c r="M11" s="187">
        <v>0</v>
      </c>
      <c r="N11" s="54">
        <f t="shared" si="6"/>
        <v>0</v>
      </c>
      <c r="O11" s="55">
        <f t="shared" si="7"/>
        <v>0</v>
      </c>
      <c r="P11" s="55">
        <f t="shared" si="8"/>
        <v>0</v>
      </c>
      <c r="Q11" s="56">
        <f>SUM(G11)*M11</f>
        <v>0</v>
      </c>
      <c r="R11" s="77">
        <f>SUM(N11:Q11)</f>
        <v>0</v>
      </c>
      <c r="S11" s="247" t="e">
        <f t="shared" si="9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1">
        <f>'summary sheet'!$E$2</f>
        <v>120</v>
      </c>
      <c r="J12" s="301">
        <f t="shared" si="5"/>
        <v>0</v>
      </c>
      <c r="K12" s="187">
        <v>0</v>
      </c>
      <c r="L12" s="187">
        <v>0</v>
      </c>
      <c r="M12" s="187">
        <v>0</v>
      </c>
      <c r="N12" s="54">
        <f t="shared" si="6"/>
        <v>0</v>
      </c>
      <c r="O12" s="55">
        <f t="shared" si="7"/>
        <v>0</v>
      </c>
      <c r="P12" s="55">
        <f t="shared" si="8"/>
        <v>0</v>
      </c>
      <c r="Q12" s="56">
        <f t="shared" ref="Q12:Q58" si="10">SUM(G12)*M12</f>
        <v>0</v>
      </c>
      <c r="R12" s="77">
        <f t="shared" ref="R12:R58" si="11">SUM(N12:Q12)</f>
        <v>0</v>
      </c>
      <c r="S12" s="247" t="e">
        <f t="shared" si="9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1">
        <f>'summary sheet'!$E$2</f>
        <v>120</v>
      </c>
      <c r="J13" s="301">
        <f t="shared" si="5"/>
        <v>0</v>
      </c>
      <c r="K13" s="187">
        <v>0</v>
      </c>
      <c r="L13" s="187">
        <v>0</v>
      </c>
      <c r="M13" s="187">
        <v>0</v>
      </c>
      <c r="N13" s="54">
        <f t="shared" si="6"/>
        <v>0</v>
      </c>
      <c r="O13" s="55">
        <f t="shared" si="7"/>
        <v>0</v>
      </c>
      <c r="P13" s="55">
        <f t="shared" si="8"/>
        <v>0</v>
      </c>
      <c r="Q13" s="56">
        <f t="shared" si="10"/>
        <v>0</v>
      </c>
      <c r="R13" s="77">
        <f t="shared" si="11"/>
        <v>0</v>
      </c>
      <c r="S13" s="247" t="e">
        <f t="shared" si="9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1">
        <f>'summary sheet'!$E$2</f>
        <v>120</v>
      </c>
      <c r="J14" s="301">
        <f t="shared" si="5"/>
        <v>0</v>
      </c>
      <c r="K14" s="187">
        <v>0</v>
      </c>
      <c r="L14" s="187">
        <v>0</v>
      </c>
      <c r="M14" s="187">
        <v>0</v>
      </c>
      <c r="N14" s="54">
        <f t="shared" si="6"/>
        <v>0</v>
      </c>
      <c r="O14" s="55">
        <f t="shared" si="7"/>
        <v>0</v>
      </c>
      <c r="P14" s="55">
        <f t="shared" si="8"/>
        <v>0</v>
      </c>
      <c r="Q14" s="56">
        <f t="shared" si="10"/>
        <v>0</v>
      </c>
      <c r="R14" s="77">
        <f t="shared" si="11"/>
        <v>0</v>
      </c>
      <c r="S14" s="247" t="e">
        <f t="shared" si="9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1">
        <f>'summary sheet'!$E$2</f>
        <v>120</v>
      </c>
      <c r="J15" s="301">
        <f t="shared" si="5"/>
        <v>0</v>
      </c>
      <c r="K15" s="187">
        <v>0</v>
      </c>
      <c r="L15" s="187">
        <v>0</v>
      </c>
      <c r="M15" s="187">
        <v>0</v>
      </c>
      <c r="N15" s="54">
        <f t="shared" si="6"/>
        <v>0</v>
      </c>
      <c r="O15" s="55">
        <f t="shared" si="7"/>
        <v>0</v>
      </c>
      <c r="P15" s="55">
        <f t="shared" si="8"/>
        <v>0</v>
      </c>
      <c r="Q15" s="56">
        <f t="shared" si="10"/>
        <v>0</v>
      </c>
      <c r="R15" s="77">
        <f t="shared" si="11"/>
        <v>0</v>
      </c>
      <c r="S15" s="247" t="e">
        <f t="shared" si="9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1">
        <f>'summary sheet'!$E$2</f>
        <v>120</v>
      </c>
      <c r="J16" s="301">
        <f t="shared" si="5"/>
        <v>0</v>
      </c>
      <c r="K16" s="187">
        <v>0</v>
      </c>
      <c r="L16" s="187">
        <v>0</v>
      </c>
      <c r="M16" s="187">
        <v>0</v>
      </c>
      <c r="N16" s="54">
        <f t="shared" si="6"/>
        <v>0</v>
      </c>
      <c r="O16" s="55">
        <f t="shared" si="7"/>
        <v>0</v>
      </c>
      <c r="P16" s="55">
        <f t="shared" si="8"/>
        <v>0</v>
      </c>
      <c r="Q16" s="56">
        <f t="shared" si="10"/>
        <v>0</v>
      </c>
      <c r="R16" s="77">
        <f t="shared" si="11"/>
        <v>0</v>
      </c>
      <c r="S16" s="247" t="e">
        <f t="shared" si="9"/>
        <v>#DIV/0!</v>
      </c>
      <c r="T16" s="206" t="e">
        <f t="shared" si="4"/>
        <v>#DIV/0!</v>
      </c>
      <c r="U16" s="89"/>
    </row>
    <row r="17" spans="1:21">
      <c r="A17" s="226">
        <v>9</v>
      </c>
      <c r="B17" s="178"/>
      <c r="C17" s="112"/>
      <c r="D17" s="178"/>
      <c r="E17" s="112"/>
      <c r="F17" s="112"/>
      <c r="G17" s="171"/>
      <c r="H17" s="225"/>
      <c r="I17" s="301">
        <f>'summary sheet'!$E$2</f>
        <v>120</v>
      </c>
      <c r="J17" s="301">
        <f t="shared" si="5"/>
        <v>0</v>
      </c>
      <c r="K17" s="187">
        <v>0</v>
      </c>
      <c r="L17" s="187">
        <v>0</v>
      </c>
      <c r="M17" s="187">
        <v>0</v>
      </c>
      <c r="N17" s="54">
        <f t="shared" si="6"/>
        <v>0</v>
      </c>
      <c r="O17" s="55">
        <f t="shared" si="7"/>
        <v>0</v>
      </c>
      <c r="P17" s="55">
        <f t="shared" si="8"/>
        <v>0</v>
      </c>
      <c r="Q17" s="56">
        <f t="shared" si="10"/>
        <v>0</v>
      </c>
      <c r="R17" s="77">
        <f t="shared" si="11"/>
        <v>0</v>
      </c>
      <c r="S17" s="247" t="e">
        <f t="shared" si="9"/>
        <v>#DIV/0!</v>
      </c>
      <c r="T17" s="206" t="e">
        <f t="shared" si="4"/>
        <v>#DIV/0!</v>
      </c>
      <c r="U17" s="89"/>
    </row>
    <row r="18" spans="1:21">
      <c r="A18" s="226">
        <v>10</v>
      </c>
      <c r="B18" s="178"/>
      <c r="C18" s="112"/>
      <c r="D18" s="178"/>
      <c r="E18" s="112"/>
      <c r="F18" s="112"/>
      <c r="G18" s="171"/>
      <c r="H18" s="225"/>
      <c r="I18" s="301">
        <f>'summary sheet'!$E$2</f>
        <v>120</v>
      </c>
      <c r="J18" s="301">
        <f t="shared" si="5"/>
        <v>0</v>
      </c>
      <c r="K18" s="187">
        <v>0</v>
      </c>
      <c r="L18" s="187">
        <v>0</v>
      </c>
      <c r="M18" s="187">
        <v>0</v>
      </c>
      <c r="N18" s="54">
        <f t="shared" si="6"/>
        <v>0</v>
      </c>
      <c r="O18" s="55">
        <f t="shared" si="7"/>
        <v>0</v>
      </c>
      <c r="P18" s="55">
        <f t="shared" si="8"/>
        <v>0</v>
      </c>
      <c r="Q18" s="56">
        <f t="shared" si="10"/>
        <v>0</v>
      </c>
      <c r="R18" s="77">
        <f t="shared" si="11"/>
        <v>0</v>
      </c>
      <c r="S18" s="247" t="e">
        <f t="shared" si="9"/>
        <v>#DIV/0!</v>
      </c>
      <c r="T18" s="206" t="e">
        <f t="shared" si="4"/>
        <v>#DIV/0!</v>
      </c>
      <c r="U18" s="89"/>
    </row>
    <row r="19" spans="1:21">
      <c r="A19" s="226">
        <v>11</v>
      </c>
      <c r="B19" s="178"/>
      <c r="C19" s="112"/>
      <c r="D19" s="178"/>
      <c r="E19" s="112"/>
      <c r="F19" s="112"/>
      <c r="G19" s="171"/>
      <c r="H19" s="225"/>
      <c r="I19" s="301">
        <f>'summary sheet'!$E$2</f>
        <v>120</v>
      </c>
      <c r="J19" s="301">
        <f t="shared" si="5"/>
        <v>0</v>
      </c>
      <c r="K19" s="187">
        <v>0</v>
      </c>
      <c r="L19" s="187">
        <v>0</v>
      </c>
      <c r="M19" s="187">
        <v>0</v>
      </c>
      <c r="N19" s="54">
        <f t="shared" si="6"/>
        <v>0</v>
      </c>
      <c r="O19" s="55">
        <f t="shared" si="7"/>
        <v>0</v>
      </c>
      <c r="P19" s="55">
        <f t="shared" si="8"/>
        <v>0</v>
      </c>
      <c r="Q19" s="56">
        <f t="shared" si="10"/>
        <v>0</v>
      </c>
      <c r="R19" s="77">
        <f t="shared" si="11"/>
        <v>0</v>
      </c>
      <c r="S19" s="247" t="e">
        <f t="shared" si="9"/>
        <v>#DIV/0!</v>
      </c>
      <c r="T19" s="206" t="e">
        <f t="shared" si="4"/>
        <v>#DIV/0!</v>
      </c>
      <c r="U19" s="89"/>
    </row>
    <row r="20" spans="1:21">
      <c r="A20" s="226">
        <v>12</v>
      </c>
      <c r="B20" s="178"/>
      <c r="C20" s="112"/>
      <c r="D20" s="178"/>
      <c r="E20" s="112"/>
      <c r="F20" s="112"/>
      <c r="G20" s="171"/>
      <c r="H20" s="225"/>
      <c r="I20" s="301">
        <f>'summary sheet'!$E$2</f>
        <v>120</v>
      </c>
      <c r="J20" s="301">
        <f t="shared" si="5"/>
        <v>0</v>
      </c>
      <c r="K20" s="187">
        <v>0</v>
      </c>
      <c r="L20" s="187">
        <v>0</v>
      </c>
      <c r="M20" s="187">
        <v>0</v>
      </c>
      <c r="N20" s="54">
        <f t="shared" si="6"/>
        <v>0</v>
      </c>
      <c r="O20" s="55">
        <f t="shared" si="7"/>
        <v>0</v>
      </c>
      <c r="P20" s="55">
        <f t="shared" si="8"/>
        <v>0</v>
      </c>
      <c r="Q20" s="56">
        <f t="shared" si="10"/>
        <v>0</v>
      </c>
      <c r="R20" s="77">
        <f t="shared" si="11"/>
        <v>0</v>
      </c>
      <c r="S20" s="247" t="e">
        <f t="shared" si="9"/>
        <v>#DIV/0!</v>
      </c>
      <c r="T20" s="206" t="e">
        <f t="shared" si="4"/>
        <v>#DIV/0!</v>
      </c>
      <c r="U20" s="89"/>
    </row>
    <row r="21" spans="1:21">
      <c r="A21" s="226">
        <v>13</v>
      </c>
      <c r="B21" s="178"/>
      <c r="C21" s="112"/>
      <c r="D21" s="178"/>
      <c r="E21" s="112"/>
      <c r="F21" s="112"/>
      <c r="G21" s="171"/>
      <c r="H21" s="225"/>
      <c r="I21" s="301">
        <f>'summary sheet'!$E$2</f>
        <v>120</v>
      </c>
      <c r="J21" s="301">
        <f t="shared" si="5"/>
        <v>0</v>
      </c>
      <c r="K21" s="187">
        <v>0</v>
      </c>
      <c r="L21" s="187">
        <v>0</v>
      </c>
      <c r="M21" s="187">
        <v>0</v>
      </c>
      <c r="N21" s="54">
        <f t="shared" si="6"/>
        <v>0</v>
      </c>
      <c r="O21" s="55">
        <f t="shared" si="7"/>
        <v>0</v>
      </c>
      <c r="P21" s="55">
        <f t="shared" si="8"/>
        <v>0</v>
      </c>
      <c r="Q21" s="56">
        <f t="shared" si="10"/>
        <v>0</v>
      </c>
      <c r="R21" s="77">
        <f t="shared" si="11"/>
        <v>0</v>
      </c>
      <c r="S21" s="247" t="e">
        <f t="shared" si="9"/>
        <v>#DIV/0!</v>
      </c>
      <c r="T21" s="206" t="e">
        <f t="shared" si="4"/>
        <v>#DIV/0!</v>
      </c>
      <c r="U21" s="89"/>
    </row>
    <row r="22" spans="1:21">
      <c r="A22" s="226">
        <v>14</v>
      </c>
      <c r="B22" s="178"/>
      <c r="C22" s="112"/>
      <c r="D22" s="178"/>
      <c r="E22" s="112"/>
      <c r="F22" s="112"/>
      <c r="G22" s="171"/>
      <c r="H22" s="225"/>
      <c r="I22" s="301">
        <f>'summary sheet'!$E$2</f>
        <v>120</v>
      </c>
      <c r="J22" s="301">
        <f t="shared" si="5"/>
        <v>0</v>
      </c>
      <c r="K22" s="187">
        <v>0</v>
      </c>
      <c r="L22" s="187">
        <v>0</v>
      </c>
      <c r="M22" s="187">
        <v>0</v>
      </c>
      <c r="N22" s="54">
        <f t="shared" si="6"/>
        <v>0</v>
      </c>
      <c r="O22" s="55">
        <f t="shared" si="7"/>
        <v>0</v>
      </c>
      <c r="P22" s="55">
        <f t="shared" si="8"/>
        <v>0</v>
      </c>
      <c r="Q22" s="56">
        <f t="shared" si="10"/>
        <v>0</v>
      </c>
      <c r="R22" s="77">
        <f t="shared" si="11"/>
        <v>0</v>
      </c>
      <c r="S22" s="247" t="e">
        <f t="shared" si="9"/>
        <v>#DIV/0!</v>
      </c>
      <c r="T22" s="206" t="e">
        <f t="shared" si="4"/>
        <v>#DIV/0!</v>
      </c>
      <c r="U22" s="89"/>
    </row>
    <row r="23" spans="1:21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1">
        <f>'summary sheet'!$E$2</f>
        <v>120</v>
      </c>
      <c r="J23" s="301">
        <f t="shared" si="5"/>
        <v>0</v>
      </c>
      <c r="K23" s="187">
        <v>0</v>
      </c>
      <c r="L23" s="187">
        <v>0</v>
      </c>
      <c r="M23" s="187">
        <v>0</v>
      </c>
      <c r="N23" s="54">
        <f t="shared" si="6"/>
        <v>0</v>
      </c>
      <c r="O23" s="55">
        <f t="shared" si="7"/>
        <v>0</v>
      </c>
      <c r="P23" s="55">
        <f t="shared" si="8"/>
        <v>0</v>
      </c>
      <c r="Q23" s="56">
        <f t="shared" si="10"/>
        <v>0</v>
      </c>
      <c r="R23" s="77">
        <f t="shared" si="11"/>
        <v>0</v>
      </c>
      <c r="S23" s="247" t="e">
        <f t="shared" si="9"/>
        <v>#DIV/0!</v>
      </c>
      <c r="T23" s="206" t="e">
        <f t="shared" si="4"/>
        <v>#DIV/0!</v>
      </c>
      <c r="U23" s="89"/>
    </row>
    <row r="24" spans="1:21" hidden="1">
      <c r="A24" s="226">
        <v>16</v>
      </c>
      <c r="B24" s="178"/>
      <c r="C24" s="112"/>
      <c r="D24" s="178"/>
      <c r="E24" s="112"/>
      <c r="F24" s="112"/>
      <c r="G24" s="171"/>
      <c r="H24" s="225"/>
      <c r="I24" s="301">
        <f>'summary sheet'!$E$2</f>
        <v>120</v>
      </c>
      <c r="J24" s="301">
        <f t="shared" si="5"/>
        <v>0</v>
      </c>
      <c r="K24" s="187">
        <v>0</v>
      </c>
      <c r="L24" s="187">
        <v>0</v>
      </c>
      <c r="M24" s="187">
        <v>0</v>
      </c>
      <c r="N24" s="54">
        <f t="shared" si="6"/>
        <v>0</v>
      </c>
      <c r="O24" s="55">
        <f t="shared" si="7"/>
        <v>0</v>
      </c>
      <c r="P24" s="55">
        <f t="shared" si="8"/>
        <v>0</v>
      </c>
      <c r="Q24" s="56">
        <f t="shared" si="10"/>
        <v>0</v>
      </c>
      <c r="R24" s="77">
        <f t="shared" si="11"/>
        <v>0</v>
      </c>
      <c r="S24" s="247" t="e">
        <f t="shared" si="9"/>
        <v>#DIV/0!</v>
      </c>
      <c r="T24" s="206" t="e">
        <f t="shared" si="4"/>
        <v>#DIV/0!</v>
      </c>
      <c r="U24" s="89"/>
    </row>
    <row r="25" spans="1:21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1">
        <f>'summary sheet'!$E$2</f>
        <v>120</v>
      </c>
      <c r="J25" s="301">
        <f t="shared" si="5"/>
        <v>0</v>
      </c>
      <c r="K25" s="187">
        <v>0</v>
      </c>
      <c r="L25" s="187">
        <v>0</v>
      </c>
      <c r="M25" s="187">
        <v>0</v>
      </c>
      <c r="N25" s="54">
        <f t="shared" si="6"/>
        <v>0</v>
      </c>
      <c r="O25" s="55">
        <f t="shared" si="7"/>
        <v>0</v>
      </c>
      <c r="P25" s="55">
        <f t="shared" si="8"/>
        <v>0</v>
      </c>
      <c r="Q25" s="56">
        <f t="shared" si="10"/>
        <v>0</v>
      </c>
      <c r="R25" s="77">
        <f t="shared" si="11"/>
        <v>0</v>
      </c>
      <c r="S25" s="247" t="e">
        <f t="shared" si="9"/>
        <v>#DIV/0!</v>
      </c>
      <c r="T25" s="206" t="e">
        <f t="shared" si="4"/>
        <v>#DIV/0!</v>
      </c>
      <c r="U25" s="89"/>
    </row>
    <row r="26" spans="1:21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01">
        <f t="shared" ref="J26:J32" si="12">SUM(I26*H26)*G26</f>
        <v>0</v>
      </c>
      <c r="K26" s="187">
        <v>0</v>
      </c>
      <c r="L26" s="187">
        <v>0</v>
      </c>
      <c r="M26" s="187">
        <v>0</v>
      </c>
      <c r="N26" s="54">
        <f t="shared" si="6"/>
        <v>0</v>
      </c>
      <c r="O26" s="55">
        <f t="shared" si="7"/>
        <v>0</v>
      </c>
      <c r="P26" s="55">
        <f t="shared" si="8"/>
        <v>0</v>
      </c>
      <c r="Q26" s="56">
        <f t="shared" si="10"/>
        <v>0</v>
      </c>
      <c r="R26" s="77">
        <f t="shared" si="11"/>
        <v>0</v>
      </c>
      <c r="S26" s="247" t="e">
        <f t="shared" si="9"/>
        <v>#DIV/0!</v>
      </c>
      <c r="T26" s="206" t="e">
        <f t="shared" si="4"/>
        <v>#DIV/0!</v>
      </c>
      <c r="U26" s="89"/>
    </row>
    <row r="27" spans="1:21" hidden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01">
        <f t="shared" si="12"/>
        <v>0</v>
      </c>
      <c r="K27" s="187">
        <v>0</v>
      </c>
      <c r="L27" s="187">
        <v>0</v>
      </c>
      <c r="M27" s="187">
        <v>0</v>
      </c>
      <c r="N27" s="54">
        <f t="shared" si="6"/>
        <v>0</v>
      </c>
      <c r="O27" s="55">
        <f t="shared" si="7"/>
        <v>0</v>
      </c>
      <c r="P27" s="55">
        <f t="shared" si="8"/>
        <v>0</v>
      </c>
      <c r="Q27" s="56">
        <f t="shared" si="10"/>
        <v>0</v>
      </c>
      <c r="R27" s="77">
        <f t="shared" si="11"/>
        <v>0</v>
      </c>
      <c r="S27" s="247" t="e">
        <f t="shared" si="9"/>
        <v>#DIV/0!</v>
      </c>
      <c r="T27" s="206" t="e">
        <f t="shared" si="4"/>
        <v>#DIV/0!</v>
      </c>
      <c r="U27" s="89"/>
    </row>
    <row r="28" spans="1:21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01">
        <f t="shared" si="12"/>
        <v>0</v>
      </c>
      <c r="K28" s="187">
        <v>0</v>
      </c>
      <c r="L28" s="187">
        <v>0</v>
      </c>
      <c r="M28" s="187">
        <v>0</v>
      </c>
      <c r="N28" s="54">
        <f t="shared" si="6"/>
        <v>0</v>
      </c>
      <c r="O28" s="55">
        <f t="shared" si="7"/>
        <v>0</v>
      </c>
      <c r="P28" s="55">
        <f t="shared" si="8"/>
        <v>0</v>
      </c>
      <c r="Q28" s="56">
        <f t="shared" si="10"/>
        <v>0</v>
      </c>
      <c r="R28" s="77">
        <f t="shared" si="11"/>
        <v>0</v>
      </c>
      <c r="S28" s="247" t="e">
        <f t="shared" si="9"/>
        <v>#DIV/0!</v>
      </c>
      <c r="T28" s="206" t="e">
        <f t="shared" si="4"/>
        <v>#DIV/0!</v>
      </c>
      <c r="U28" s="89"/>
    </row>
    <row r="29" spans="1:21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01">
        <f t="shared" si="12"/>
        <v>0</v>
      </c>
      <c r="K29" s="187">
        <v>0</v>
      </c>
      <c r="L29" s="187">
        <v>0</v>
      </c>
      <c r="M29" s="187">
        <v>0</v>
      </c>
      <c r="N29" s="54">
        <f t="shared" si="6"/>
        <v>0</v>
      </c>
      <c r="O29" s="55">
        <f t="shared" si="7"/>
        <v>0</v>
      </c>
      <c r="P29" s="55">
        <f t="shared" si="8"/>
        <v>0</v>
      </c>
      <c r="Q29" s="56">
        <f t="shared" si="10"/>
        <v>0</v>
      </c>
      <c r="R29" s="77">
        <f t="shared" si="11"/>
        <v>0</v>
      </c>
      <c r="S29" s="247" t="e">
        <f t="shared" si="9"/>
        <v>#DIV/0!</v>
      </c>
      <c r="T29" s="206" t="e">
        <f t="shared" si="4"/>
        <v>#DIV/0!</v>
      </c>
      <c r="U29" s="89"/>
    </row>
    <row r="30" spans="1:21" hidden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01">
        <f t="shared" si="12"/>
        <v>0</v>
      </c>
      <c r="K30" s="187">
        <v>0</v>
      </c>
      <c r="L30" s="187">
        <v>0</v>
      </c>
      <c r="M30" s="187">
        <v>0</v>
      </c>
      <c r="N30" s="54">
        <f t="shared" si="6"/>
        <v>0</v>
      </c>
      <c r="O30" s="55">
        <f t="shared" si="7"/>
        <v>0</v>
      </c>
      <c r="P30" s="55">
        <f t="shared" si="8"/>
        <v>0</v>
      </c>
      <c r="Q30" s="56">
        <f t="shared" si="10"/>
        <v>0</v>
      </c>
      <c r="R30" s="77">
        <f t="shared" si="11"/>
        <v>0</v>
      </c>
      <c r="S30" s="247" t="e">
        <f t="shared" si="9"/>
        <v>#DIV/0!</v>
      </c>
      <c r="T30" s="206" t="e">
        <f t="shared" si="4"/>
        <v>#DIV/0!</v>
      </c>
      <c r="U30" s="89"/>
    </row>
    <row r="31" spans="1:21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01">
        <f t="shared" si="12"/>
        <v>0</v>
      </c>
      <c r="K31" s="187">
        <v>0</v>
      </c>
      <c r="L31" s="187">
        <v>0</v>
      </c>
      <c r="M31" s="187">
        <v>0</v>
      </c>
      <c r="N31" s="54">
        <f t="shared" si="6"/>
        <v>0</v>
      </c>
      <c r="O31" s="55">
        <f t="shared" si="7"/>
        <v>0</v>
      </c>
      <c r="P31" s="55">
        <f t="shared" si="8"/>
        <v>0</v>
      </c>
      <c r="Q31" s="56">
        <f t="shared" si="10"/>
        <v>0</v>
      </c>
      <c r="R31" s="77">
        <f t="shared" si="11"/>
        <v>0</v>
      </c>
      <c r="S31" s="247" t="e">
        <f t="shared" si="9"/>
        <v>#DIV/0!</v>
      </c>
      <c r="T31" s="206" t="e">
        <f t="shared" si="4"/>
        <v>#DIV/0!</v>
      </c>
      <c r="U31" s="89"/>
    </row>
    <row r="32" spans="1:21" hidden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01">
        <f t="shared" si="12"/>
        <v>0</v>
      </c>
      <c r="K32" s="187">
        <v>0</v>
      </c>
      <c r="L32" s="187">
        <v>0</v>
      </c>
      <c r="M32" s="187">
        <v>0</v>
      </c>
      <c r="N32" s="54">
        <f t="shared" si="6"/>
        <v>0</v>
      </c>
      <c r="O32" s="55">
        <f t="shared" si="7"/>
        <v>0</v>
      </c>
      <c r="P32" s="55">
        <f t="shared" si="8"/>
        <v>0</v>
      </c>
      <c r="Q32" s="56">
        <f t="shared" si="10"/>
        <v>0</v>
      </c>
      <c r="R32" s="77">
        <f t="shared" si="11"/>
        <v>0</v>
      </c>
      <c r="S32" s="247" t="e">
        <f t="shared" si="9"/>
        <v>#DIV/0!</v>
      </c>
      <c r="T32" s="206" t="e">
        <f t="shared" si="4"/>
        <v>#DIV/0!</v>
      </c>
      <c r="U32" s="89"/>
    </row>
    <row r="33" spans="1:22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ref="J33" si="13">SUM(H33*I33)*G33</f>
        <v>0</v>
      </c>
      <c r="K33" s="118">
        <v>0</v>
      </c>
      <c r="L33" s="118">
        <v>0</v>
      </c>
      <c r="M33" s="119">
        <v>0</v>
      </c>
      <c r="N33" s="54">
        <f t="shared" si="6"/>
        <v>0</v>
      </c>
      <c r="O33" s="55">
        <f t="shared" si="7"/>
        <v>0</v>
      </c>
      <c r="P33" s="55">
        <f t="shared" si="8"/>
        <v>0</v>
      </c>
      <c r="Q33" s="56">
        <f t="shared" ref="Q33" si="14">M33</f>
        <v>0</v>
      </c>
      <c r="R33" s="77">
        <f t="shared" si="11"/>
        <v>0</v>
      </c>
      <c r="S33" s="247" t="e">
        <f t="shared" si="9"/>
        <v>#DIV/0!</v>
      </c>
      <c r="T33" s="206" t="e">
        <f t="shared" si="4"/>
        <v>#DIV/0!</v>
      </c>
      <c r="U33" s="89"/>
    </row>
    <row r="34" spans="1:22" ht="12.75" hidden="1" customHeight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>SUM(H34*I34)*G34</f>
        <v>0</v>
      </c>
      <c r="K34" s="118">
        <v>0</v>
      </c>
      <c r="L34" s="118">
        <v>0</v>
      </c>
      <c r="M34" s="119">
        <v>0</v>
      </c>
      <c r="N34" s="54">
        <f>J34</f>
        <v>0</v>
      </c>
      <c r="O34" s="55">
        <f t="shared" si="7"/>
        <v>0</v>
      </c>
      <c r="P34" s="55">
        <f t="shared" si="8"/>
        <v>0</v>
      </c>
      <c r="Q34" s="56">
        <f>M34</f>
        <v>0</v>
      </c>
      <c r="R34" s="77">
        <f t="shared" si="11"/>
        <v>0</v>
      </c>
      <c r="S34" s="247" t="e">
        <f t="shared" si="9"/>
        <v>#DIV/0!</v>
      </c>
      <c r="T34" s="206" t="e">
        <f t="shared" si="4"/>
        <v>#DIV/0!</v>
      </c>
      <c r="U34" s="88"/>
      <c r="V34" s="51"/>
    </row>
    <row r="35" spans="1:22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>SUM(H35*I35)*G35</f>
        <v>0</v>
      </c>
      <c r="K35" s="118">
        <v>0</v>
      </c>
      <c r="L35" s="118">
        <v>0</v>
      </c>
      <c r="M35" s="119">
        <v>0</v>
      </c>
      <c r="N35" s="54">
        <f t="shared" ref="N35:N55" si="15">J35</f>
        <v>0</v>
      </c>
      <c r="O35" s="55">
        <f t="shared" si="7"/>
        <v>0</v>
      </c>
      <c r="P35" s="55">
        <f t="shared" si="8"/>
        <v>0</v>
      </c>
      <c r="Q35" s="56">
        <f t="shared" ref="Q35:Q55" si="16">M35</f>
        <v>0</v>
      </c>
      <c r="R35" s="77">
        <f t="shared" si="11"/>
        <v>0</v>
      </c>
      <c r="S35" s="247" t="e">
        <f t="shared" si="9"/>
        <v>#DIV/0!</v>
      </c>
      <c r="T35" s="206" t="e">
        <f t="shared" si="4"/>
        <v>#DIV/0!</v>
      </c>
      <c r="U35" s="89"/>
      <c r="V35" s="51"/>
    </row>
    <row r="36" spans="1:22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ref="J36:J55" si="17">SUM(H36*I36)*G36</f>
        <v>0</v>
      </c>
      <c r="K36" s="118">
        <v>0</v>
      </c>
      <c r="L36" s="118">
        <v>0</v>
      </c>
      <c r="M36" s="119">
        <v>0</v>
      </c>
      <c r="N36" s="54">
        <f t="shared" si="15"/>
        <v>0</v>
      </c>
      <c r="O36" s="55">
        <f t="shared" si="7"/>
        <v>0</v>
      </c>
      <c r="P36" s="55">
        <f t="shared" si="8"/>
        <v>0</v>
      </c>
      <c r="Q36" s="56">
        <f t="shared" si="16"/>
        <v>0</v>
      </c>
      <c r="R36" s="77">
        <f t="shared" si="11"/>
        <v>0</v>
      </c>
      <c r="S36" s="247" t="e">
        <f t="shared" si="9"/>
        <v>#DIV/0!</v>
      </c>
      <c r="T36" s="206" t="e">
        <f t="shared" si="4"/>
        <v>#DIV/0!</v>
      </c>
      <c r="U36" s="89"/>
    </row>
    <row r="37" spans="1:22" ht="13.2" hidden="1" customHeight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7"/>
        <v>0</v>
      </c>
      <c r="K37" s="118">
        <v>0</v>
      </c>
      <c r="L37" s="118">
        <v>0</v>
      </c>
      <c r="M37" s="119">
        <v>0</v>
      </c>
      <c r="N37" s="54">
        <f t="shared" si="15"/>
        <v>0</v>
      </c>
      <c r="O37" s="55">
        <f t="shared" si="7"/>
        <v>0</v>
      </c>
      <c r="P37" s="55">
        <f t="shared" si="8"/>
        <v>0</v>
      </c>
      <c r="Q37" s="56">
        <f t="shared" si="16"/>
        <v>0</v>
      </c>
      <c r="R37" s="77">
        <f t="shared" si="11"/>
        <v>0</v>
      </c>
      <c r="S37" s="247" t="e">
        <f t="shared" si="9"/>
        <v>#DIV/0!</v>
      </c>
      <c r="T37" s="206" t="e">
        <f t="shared" si="4"/>
        <v>#DIV/0!</v>
      </c>
      <c r="U37" s="89"/>
    </row>
    <row r="38" spans="1:22" ht="13.2" hidden="1" customHeight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7"/>
        <v>0</v>
      </c>
      <c r="K38" s="118">
        <v>0</v>
      </c>
      <c r="L38" s="118">
        <v>0</v>
      </c>
      <c r="M38" s="119">
        <v>0</v>
      </c>
      <c r="N38" s="54">
        <f t="shared" si="15"/>
        <v>0</v>
      </c>
      <c r="O38" s="55">
        <f t="shared" si="7"/>
        <v>0</v>
      </c>
      <c r="P38" s="55">
        <f t="shared" si="8"/>
        <v>0</v>
      </c>
      <c r="Q38" s="56">
        <f t="shared" si="16"/>
        <v>0</v>
      </c>
      <c r="R38" s="77">
        <f t="shared" si="11"/>
        <v>0</v>
      </c>
      <c r="S38" s="247" t="e">
        <f t="shared" si="9"/>
        <v>#DIV/0!</v>
      </c>
      <c r="T38" s="206" t="e">
        <f t="shared" si="4"/>
        <v>#DIV/0!</v>
      </c>
      <c r="U38" s="89"/>
    </row>
    <row r="39" spans="1:22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7"/>
        <v>0</v>
      </c>
      <c r="K39" s="118">
        <v>0</v>
      </c>
      <c r="L39" s="118">
        <v>0</v>
      </c>
      <c r="M39" s="119">
        <v>0</v>
      </c>
      <c r="N39" s="54">
        <f t="shared" si="15"/>
        <v>0</v>
      </c>
      <c r="O39" s="55">
        <f t="shared" si="7"/>
        <v>0</v>
      </c>
      <c r="P39" s="55">
        <f t="shared" si="8"/>
        <v>0</v>
      </c>
      <c r="Q39" s="56">
        <f t="shared" si="16"/>
        <v>0</v>
      </c>
      <c r="R39" s="77">
        <f t="shared" si="11"/>
        <v>0</v>
      </c>
      <c r="S39" s="247" t="e">
        <f t="shared" si="9"/>
        <v>#DIV/0!</v>
      </c>
      <c r="T39" s="206" t="e">
        <f t="shared" si="4"/>
        <v>#DIV/0!</v>
      </c>
      <c r="U39" s="89"/>
    </row>
    <row r="40" spans="1:22" ht="13.2" hidden="1" customHeight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7"/>
        <v>0</v>
      </c>
      <c r="K40" s="118">
        <v>0</v>
      </c>
      <c r="L40" s="118">
        <v>0</v>
      </c>
      <c r="M40" s="119">
        <v>0</v>
      </c>
      <c r="N40" s="54">
        <f t="shared" si="15"/>
        <v>0</v>
      </c>
      <c r="O40" s="55">
        <f t="shared" si="7"/>
        <v>0</v>
      </c>
      <c r="P40" s="55">
        <f t="shared" si="8"/>
        <v>0</v>
      </c>
      <c r="Q40" s="56">
        <f t="shared" si="16"/>
        <v>0</v>
      </c>
      <c r="R40" s="77">
        <f t="shared" si="11"/>
        <v>0</v>
      </c>
      <c r="S40" s="247" t="e">
        <f t="shared" si="9"/>
        <v>#DIV/0!</v>
      </c>
      <c r="T40" s="206" t="e">
        <f t="shared" si="4"/>
        <v>#DIV/0!</v>
      </c>
      <c r="U40" s="89"/>
    </row>
    <row r="41" spans="1:22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7"/>
        <v>0</v>
      </c>
      <c r="K41" s="118">
        <v>0</v>
      </c>
      <c r="L41" s="118">
        <v>0</v>
      </c>
      <c r="M41" s="119">
        <v>0</v>
      </c>
      <c r="N41" s="54">
        <f t="shared" si="15"/>
        <v>0</v>
      </c>
      <c r="O41" s="55">
        <f t="shared" si="7"/>
        <v>0</v>
      </c>
      <c r="P41" s="55">
        <f t="shared" si="8"/>
        <v>0</v>
      </c>
      <c r="Q41" s="56">
        <f t="shared" si="16"/>
        <v>0</v>
      </c>
      <c r="R41" s="77">
        <f t="shared" si="11"/>
        <v>0</v>
      </c>
      <c r="S41" s="247" t="e">
        <f t="shared" si="9"/>
        <v>#DIV/0!</v>
      </c>
      <c r="T41" s="206" t="e">
        <f t="shared" si="4"/>
        <v>#DIV/0!</v>
      </c>
      <c r="U41" s="89"/>
    </row>
    <row r="42" spans="1:22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7"/>
        <v>0</v>
      </c>
      <c r="K42" s="118">
        <v>0</v>
      </c>
      <c r="L42" s="118">
        <v>0</v>
      </c>
      <c r="M42" s="119">
        <v>0</v>
      </c>
      <c r="N42" s="54">
        <f t="shared" si="15"/>
        <v>0</v>
      </c>
      <c r="O42" s="55">
        <f t="shared" si="7"/>
        <v>0</v>
      </c>
      <c r="P42" s="55">
        <f t="shared" si="8"/>
        <v>0</v>
      </c>
      <c r="Q42" s="56">
        <f t="shared" si="16"/>
        <v>0</v>
      </c>
      <c r="R42" s="77">
        <f t="shared" si="11"/>
        <v>0</v>
      </c>
      <c r="S42" s="247" t="e">
        <f t="shared" si="9"/>
        <v>#DIV/0!</v>
      </c>
      <c r="T42" s="206" t="e">
        <f t="shared" si="4"/>
        <v>#DIV/0!</v>
      </c>
      <c r="U42" s="89"/>
    </row>
    <row r="43" spans="1:22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7"/>
        <v>0</v>
      </c>
      <c r="K43" s="118">
        <v>0</v>
      </c>
      <c r="L43" s="118">
        <v>0</v>
      </c>
      <c r="M43" s="119">
        <v>0</v>
      </c>
      <c r="N43" s="54">
        <f t="shared" si="15"/>
        <v>0</v>
      </c>
      <c r="O43" s="55">
        <f t="shared" si="7"/>
        <v>0</v>
      </c>
      <c r="P43" s="55">
        <f t="shared" si="8"/>
        <v>0</v>
      </c>
      <c r="Q43" s="56">
        <f t="shared" si="16"/>
        <v>0</v>
      </c>
      <c r="R43" s="77">
        <f t="shared" si="11"/>
        <v>0</v>
      </c>
      <c r="S43" s="247" t="e">
        <f t="shared" si="9"/>
        <v>#DIV/0!</v>
      </c>
      <c r="T43" s="206" t="e">
        <f t="shared" si="4"/>
        <v>#DIV/0!</v>
      </c>
      <c r="U43" s="89"/>
    </row>
    <row r="44" spans="1:22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7"/>
        <v>0</v>
      </c>
      <c r="K44" s="118">
        <v>0</v>
      </c>
      <c r="L44" s="118">
        <v>0</v>
      </c>
      <c r="M44" s="119">
        <v>0</v>
      </c>
      <c r="N44" s="54">
        <f t="shared" si="15"/>
        <v>0</v>
      </c>
      <c r="O44" s="55">
        <f t="shared" si="7"/>
        <v>0</v>
      </c>
      <c r="P44" s="55">
        <f t="shared" si="8"/>
        <v>0</v>
      </c>
      <c r="Q44" s="56">
        <f t="shared" si="16"/>
        <v>0</v>
      </c>
      <c r="R44" s="77">
        <f t="shared" si="11"/>
        <v>0</v>
      </c>
      <c r="S44" s="247" t="e">
        <f t="shared" si="9"/>
        <v>#DIV/0!</v>
      </c>
      <c r="T44" s="206" t="e">
        <f t="shared" si="4"/>
        <v>#DIV/0!</v>
      </c>
      <c r="U44" s="89"/>
    </row>
    <row r="45" spans="1:22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7"/>
        <v>0</v>
      </c>
      <c r="K45" s="118">
        <v>0</v>
      </c>
      <c r="L45" s="118">
        <v>0</v>
      </c>
      <c r="M45" s="119">
        <v>0</v>
      </c>
      <c r="N45" s="54">
        <f t="shared" si="15"/>
        <v>0</v>
      </c>
      <c r="O45" s="55">
        <f t="shared" si="7"/>
        <v>0</v>
      </c>
      <c r="P45" s="55">
        <f t="shared" si="8"/>
        <v>0</v>
      </c>
      <c r="Q45" s="56">
        <f t="shared" si="16"/>
        <v>0</v>
      </c>
      <c r="R45" s="77">
        <f t="shared" si="11"/>
        <v>0</v>
      </c>
      <c r="S45" s="247" t="e">
        <f t="shared" si="9"/>
        <v>#DIV/0!</v>
      </c>
      <c r="T45" s="206" t="e">
        <f t="shared" si="4"/>
        <v>#DIV/0!</v>
      </c>
      <c r="U45" s="89"/>
    </row>
    <row r="46" spans="1:22" ht="13.2" hidden="1" customHeight="1">
      <c r="A46" s="226">
        <v>38</v>
      </c>
      <c r="B46" s="178"/>
      <c r="C46" s="112"/>
      <c r="D46" s="178"/>
      <c r="E46" s="112"/>
      <c r="F46" s="112"/>
      <c r="G46" s="171"/>
      <c r="H46" s="225"/>
      <c r="I46" s="302">
        <f>'summary sheet'!$E$2</f>
        <v>120</v>
      </c>
      <c r="J46" s="315">
        <f t="shared" si="17"/>
        <v>0</v>
      </c>
      <c r="K46" s="118">
        <v>0</v>
      </c>
      <c r="L46" s="118">
        <v>0</v>
      </c>
      <c r="M46" s="119">
        <v>0</v>
      </c>
      <c r="N46" s="54">
        <f t="shared" si="15"/>
        <v>0</v>
      </c>
      <c r="O46" s="55">
        <f t="shared" si="7"/>
        <v>0</v>
      </c>
      <c r="P46" s="55">
        <f t="shared" si="8"/>
        <v>0</v>
      </c>
      <c r="Q46" s="56">
        <f t="shared" si="16"/>
        <v>0</v>
      </c>
      <c r="R46" s="77">
        <f t="shared" si="11"/>
        <v>0</v>
      </c>
      <c r="S46" s="247" t="e">
        <f t="shared" si="9"/>
        <v>#DIV/0!</v>
      </c>
      <c r="T46" s="206" t="e">
        <f t="shared" si="4"/>
        <v>#DIV/0!</v>
      </c>
      <c r="U46" s="89"/>
    </row>
    <row r="47" spans="1:22" ht="13.2" hidden="1" customHeight="1">
      <c r="A47" s="226">
        <v>39</v>
      </c>
      <c r="B47" s="178"/>
      <c r="C47" s="112"/>
      <c r="D47" s="178"/>
      <c r="E47" s="112"/>
      <c r="F47" s="112"/>
      <c r="G47" s="171"/>
      <c r="H47" s="225"/>
      <c r="I47" s="302">
        <f>'summary sheet'!$E$2</f>
        <v>120</v>
      </c>
      <c r="J47" s="315">
        <f t="shared" si="17"/>
        <v>0</v>
      </c>
      <c r="K47" s="118">
        <v>0</v>
      </c>
      <c r="L47" s="118">
        <v>0</v>
      </c>
      <c r="M47" s="119">
        <v>0</v>
      </c>
      <c r="N47" s="54">
        <f t="shared" si="15"/>
        <v>0</v>
      </c>
      <c r="O47" s="55">
        <f t="shared" si="7"/>
        <v>0</v>
      </c>
      <c r="P47" s="55">
        <f t="shared" si="8"/>
        <v>0</v>
      </c>
      <c r="Q47" s="56">
        <f t="shared" si="16"/>
        <v>0</v>
      </c>
      <c r="R47" s="77">
        <f t="shared" si="11"/>
        <v>0</v>
      </c>
      <c r="S47" s="247" t="e">
        <f t="shared" si="9"/>
        <v>#DIV/0!</v>
      </c>
      <c r="T47" s="206" t="e">
        <f t="shared" si="4"/>
        <v>#DIV/0!</v>
      </c>
      <c r="U47" s="89"/>
    </row>
    <row r="48" spans="1:22" ht="13.2" hidden="1" customHeight="1">
      <c r="A48" s="226">
        <v>40</v>
      </c>
      <c r="B48" s="178"/>
      <c r="C48" s="112"/>
      <c r="D48" s="178"/>
      <c r="E48" s="112"/>
      <c r="F48" s="112"/>
      <c r="G48" s="171"/>
      <c r="H48" s="225"/>
      <c r="I48" s="302">
        <f>'summary sheet'!$E$2</f>
        <v>120</v>
      </c>
      <c r="J48" s="315">
        <f t="shared" si="17"/>
        <v>0</v>
      </c>
      <c r="K48" s="118">
        <v>0</v>
      </c>
      <c r="L48" s="118">
        <v>0</v>
      </c>
      <c r="M48" s="119">
        <v>0</v>
      </c>
      <c r="N48" s="54">
        <f t="shared" si="15"/>
        <v>0</v>
      </c>
      <c r="O48" s="55">
        <f t="shared" si="7"/>
        <v>0</v>
      </c>
      <c r="P48" s="55">
        <f t="shared" si="8"/>
        <v>0</v>
      </c>
      <c r="Q48" s="56">
        <f t="shared" si="16"/>
        <v>0</v>
      </c>
      <c r="R48" s="77">
        <f t="shared" si="11"/>
        <v>0</v>
      </c>
      <c r="S48" s="247" t="e">
        <f t="shared" si="9"/>
        <v>#DIV/0!</v>
      </c>
      <c r="T48" s="206" t="e">
        <f t="shared" si="4"/>
        <v>#DIV/0!</v>
      </c>
      <c r="U48" s="89"/>
    </row>
    <row r="49" spans="1:21" ht="13.2" hidden="1" customHeight="1">
      <c r="A49" s="226">
        <v>41</v>
      </c>
      <c r="B49" s="178"/>
      <c r="C49" s="112"/>
      <c r="D49" s="178"/>
      <c r="E49" s="112"/>
      <c r="F49" s="112"/>
      <c r="G49" s="171"/>
      <c r="H49" s="225"/>
      <c r="I49" s="302">
        <f>'summary sheet'!$E$2</f>
        <v>120</v>
      </c>
      <c r="J49" s="315">
        <f t="shared" si="17"/>
        <v>0</v>
      </c>
      <c r="K49" s="118">
        <v>0</v>
      </c>
      <c r="L49" s="118">
        <v>0</v>
      </c>
      <c r="M49" s="119">
        <v>0</v>
      </c>
      <c r="N49" s="54">
        <f t="shared" si="15"/>
        <v>0</v>
      </c>
      <c r="O49" s="55">
        <f t="shared" si="7"/>
        <v>0</v>
      </c>
      <c r="P49" s="55">
        <f t="shared" si="8"/>
        <v>0</v>
      </c>
      <c r="Q49" s="56">
        <f t="shared" si="16"/>
        <v>0</v>
      </c>
      <c r="R49" s="77">
        <f t="shared" si="11"/>
        <v>0</v>
      </c>
      <c r="S49" s="247" t="e">
        <f t="shared" si="9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2">
        <f>'summary sheet'!$E$2</f>
        <v>120</v>
      </c>
      <c r="J50" s="315">
        <f t="shared" si="17"/>
        <v>0</v>
      </c>
      <c r="K50" s="118">
        <v>0</v>
      </c>
      <c r="L50" s="118">
        <v>0</v>
      </c>
      <c r="M50" s="119">
        <v>0</v>
      </c>
      <c r="N50" s="54">
        <f t="shared" si="15"/>
        <v>0</v>
      </c>
      <c r="O50" s="55">
        <f t="shared" si="7"/>
        <v>0</v>
      </c>
      <c r="P50" s="55">
        <f t="shared" si="8"/>
        <v>0</v>
      </c>
      <c r="Q50" s="56">
        <f t="shared" si="16"/>
        <v>0</v>
      </c>
      <c r="R50" s="77">
        <f t="shared" si="11"/>
        <v>0</v>
      </c>
      <c r="S50" s="247" t="e">
        <f t="shared" si="9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2">
        <f>'summary sheet'!$E$2</f>
        <v>120</v>
      </c>
      <c r="J51" s="315">
        <f t="shared" si="17"/>
        <v>0</v>
      </c>
      <c r="K51" s="118">
        <v>0</v>
      </c>
      <c r="L51" s="118">
        <v>0</v>
      </c>
      <c r="M51" s="119">
        <v>0</v>
      </c>
      <c r="N51" s="54">
        <f t="shared" si="15"/>
        <v>0</v>
      </c>
      <c r="O51" s="55">
        <f t="shared" si="7"/>
        <v>0</v>
      </c>
      <c r="P51" s="55">
        <f t="shared" si="8"/>
        <v>0</v>
      </c>
      <c r="Q51" s="56">
        <f t="shared" si="16"/>
        <v>0</v>
      </c>
      <c r="R51" s="77">
        <f t="shared" si="11"/>
        <v>0</v>
      </c>
      <c r="S51" s="247" t="e">
        <f t="shared" si="9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2">
        <f>'summary sheet'!$E$2</f>
        <v>120</v>
      </c>
      <c r="J52" s="315">
        <f t="shared" si="17"/>
        <v>0</v>
      </c>
      <c r="K52" s="118">
        <v>0</v>
      </c>
      <c r="L52" s="118">
        <v>0</v>
      </c>
      <c r="M52" s="119">
        <v>0</v>
      </c>
      <c r="N52" s="54">
        <f t="shared" si="15"/>
        <v>0</v>
      </c>
      <c r="O52" s="55">
        <f t="shared" si="7"/>
        <v>0</v>
      </c>
      <c r="P52" s="55">
        <f t="shared" si="8"/>
        <v>0</v>
      </c>
      <c r="Q52" s="56">
        <f t="shared" si="16"/>
        <v>0</v>
      </c>
      <c r="R52" s="77">
        <f t="shared" si="11"/>
        <v>0</v>
      </c>
      <c r="S52" s="247" t="e">
        <f t="shared" si="9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2">
        <f>'summary sheet'!$E$2</f>
        <v>120</v>
      </c>
      <c r="J53" s="315">
        <f t="shared" si="17"/>
        <v>0</v>
      </c>
      <c r="K53" s="118">
        <v>0</v>
      </c>
      <c r="L53" s="118">
        <v>0</v>
      </c>
      <c r="M53" s="119">
        <v>0</v>
      </c>
      <c r="N53" s="54">
        <f t="shared" si="15"/>
        <v>0</v>
      </c>
      <c r="O53" s="55">
        <f t="shared" si="7"/>
        <v>0</v>
      </c>
      <c r="P53" s="55">
        <f t="shared" si="8"/>
        <v>0</v>
      </c>
      <c r="Q53" s="56">
        <f t="shared" si="16"/>
        <v>0</v>
      </c>
      <c r="R53" s="77">
        <f t="shared" si="11"/>
        <v>0</v>
      </c>
      <c r="S53" s="247" t="e">
        <f t="shared" si="9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2">
        <f>'summary sheet'!$E$2</f>
        <v>120</v>
      </c>
      <c r="J54" s="315">
        <f t="shared" si="17"/>
        <v>0</v>
      </c>
      <c r="K54" s="118">
        <v>0</v>
      </c>
      <c r="L54" s="118">
        <v>0</v>
      </c>
      <c r="M54" s="119">
        <v>0</v>
      </c>
      <c r="N54" s="54">
        <f t="shared" si="15"/>
        <v>0</v>
      </c>
      <c r="O54" s="55">
        <f t="shared" si="7"/>
        <v>0</v>
      </c>
      <c r="P54" s="55">
        <f t="shared" si="8"/>
        <v>0</v>
      </c>
      <c r="Q54" s="56">
        <f t="shared" si="16"/>
        <v>0</v>
      </c>
      <c r="R54" s="77">
        <f t="shared" si="11"/>
        <v>0</v>
      </c>
      <c r="S54" s="247" t="e">
        <f t="shared" si="9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2">
        <f>'summary sheet'!$E$2</f>
        <v>120</v>
      </c>
      <c r="J55" s="315">
        <f t="shared" si="17"/>
        <v>0</v>
      </c>
      <c r="K55" s="118">
        <v>0</v>
      </c>
      <c r="L55" s="118">
        <v>0</v>
      </c>
      <c r="M55" s="119">
        <v>0</v>
      </c>
      <c r="N55" s="54">
        <f t="shared" si="15"/>
        <v>0</v>
      </c>
      <c r="O55" s="55">
        <f t="shared" si="7"/>
        <v>0</v>
      </c>
      <c r="P55" s="55">
        <f t="shared" si="8"/>
        <v>0</v>
      </c>
      <c r="Q55" s="56">
        <f t="shared" si="16"/>
        <v>0</v>
      </c>
      <c r="R55" s="77">
        <f t="shared" si="11"/>
        <v>0</v>
      </c>
      <c r="S55" s="247" t="e">
        <f t="shared" si="9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1">
        <f>'summary sheet'!$E$2</f>
        <v>120</v>
      </c>
      <c r="J56" s="301">
        <f t="shared" si="5"/>
        <v>0</v>
      </c>
      <c r="K56" s="187">
        <v>0</v>
      </c>
      <c r="L56" s="187">
        <v>0</v>
      </c>
      <c r="M56" s="187">
        <v>0</v>
      </c>
      <c r="N56" s="54">
        <f t="shared" si="6"/>
        <v>0</v>
      </c>
      <c r="O56" s="55">
        <f t="shared" si="7"/>
        <v>0</v>
      </c>
      <c r="P56" s="55">
        <f t="shared" si="8"/>
        <v>0</v>
      </c>
      <c r="Q56" s="56">
        <f t="shared" si="10"/>
        <v>0</v>
      </c>
      <c r="R56" s="77">
        <f t="shared" si="11"/>
        <v>0</v>
      </c>
      <c r="S56" s="247" t="e">
        <f t="shared" si="9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1">
        <f>'summary sheet'!$E$2</f>
        <v>120</v>
      </c>
      <c r="J57" s="301">
        <f t="shared" si="5"/>
        <v>0</v>
      </c>
      <c r="K57" s="187">
        <v>0</v>
      </c>
      <c r="L57" s="187">
        <v>0</v>
      </c>
      <c r="M57" s="187">
        <v>0</v>
      </c>
      <c r="N57" s="54">
        <f t="shared" si="6"/>
        <v>0</v>
      </c>
      <c r="O57" s="55">
        <f t="shared" si="7"/>
        <v>0</v>
      </c>
      <c r="P57" s="55">
        <f t="shared" si="8"/>
        <v>0</v>
      </c>
      <c r="Q57" s="56">
        <f t="shared" si="10"/>
        <v>0</v>
      </c>
      <c r="R57" s="77">
        <f t="shared" si="11"/>
        <v>0</v>
      </c>
      <c r="S57" s="247" t="e">
        <f t="shared" si="9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1">
        <f>'summary sheet'!$E$2</f>
        <v>120</v>
      </c>
      <c r="J58" s="301">
        <f t="shared" si="5"/>
        <v>0</v>
      </c>
      <c r="K58" s="187">
        <v>0</v>
      </c>
      <c r="L58" s="187">
        <v>0</v>
      </c>
      <c r="M58" s="187">
        <v>0</v>
      </c>
      <c r="N58" s="54">
        <f t="shared" si="6"/>
        <v>0</v>
      </c>
      <c r="O58" s="55">
        <f t="shared" si="7"/>
        <v>0</v>
      </c>
      <c r="P58" s="55">
        <f t="shared" si="8"/>
        <v>0</v>
      </c>
      <c r="Q58" s="56">
        <f t="shared" si="10"/>
        <v>0</v>
      </c>
      <c r="R58" s="77">
        <f t="shared" si="11"/>
        <v>0</v>
      </c>
      <c r="S58" s="247" t="e">
        <f t="shared" si="9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39"/>
      <c r="C62" s="39"/>
      <c r="D62" s="39"/>
      <c r="E62" s="39"/>
      <c r="F62" s="39"/>
      <c r="G62" s="172"/>
      <c r="H62" s="172"/>
      <c r="I62" s="197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39"/>
      <c r="C63" s="39"/>
      <c r="D63" s="39"/>
      <c r="E63" s="39"/>
      <c r="F63" s="39"/>
      <c r="G63" s="172"/>
      <c r="H63" s="172"/>
      <c r="I63" s="197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39"/>
      <c r="C64" s="39"/>
      <c r="D64" s="39"/>
      <c r="E64" s="39"/>
      <c r="F64" s="39"/>
      <c r="G64" s="172"/>
      <c r="H64" s="172"/>
      <c r="I64" s="197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18">SUM(O64)*Q64</f>
        <v>0</v>
      </c>
      <c r="S64" s="211"/>
      <c r="T64" s="211"/>
    </row>
    <row r="65" spans="1:21">
      <c r="A65" s="39"/>
      <c r="B65" s="39"/>
      <c r="C65" s="39"/>
      <c r="D65" s="39"/>
      <c r="E65" s="39"/>
      <c r="F65" s="39"/>
      <c r="G65" s="172"/>
      <c r="H65" s="172"/>
      <c r="I65" s="197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39"/>
      <c r="C66" s="39"/>
      <c r="D66" s="39"/>
      <c r="E66" s="39"/>
      <c r="F66" s="39"/>
      <c r="G66" s="172"/>
      <c r="H66" s="172"/>
      <c r="I66" s="197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19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19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19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B72" s="169"/>
      <c r="D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B73" s="169"/>
      <c r="D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B74" s="169"/>
      <c r="D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B75" s="169"/>
      <c r="D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B76" s="169"/>
      <c r="D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49" customWidth="1"/>
    <col min="10" max="13" width="10.6640625" style="49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  <c r="H1" s="173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  <c r="H2" s="173"/>
    </row>
    <row r="3" spans="1:22" ht="14.4" customHeight="1">
      <c r="A3" s="110" t="str" cm="1">
        <f t="array" aca="1" ref="A3" ca="1">CONCATENATE("SCOPE: ",MID(CELL("filename",A1),FIND("]",CELL("filename",A1))+1,255))</f>
        <v>SCOPE: Bike Racks</v>
      </c>
      <c r="B3" s="176"/>
      <c r="C3" s="110"/>
      <c r="D3" s="176"/>
      <c r="E3" s="110"/>
      <c r="F3" s="12"/>
      <c r="G3" s="173"/>
      <c r="H3" s="173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  <c r="H4" s="173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173"/>
      <c r="H5" s="173"/>
      <c r="M5" s="50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174"/>
      <c r="H6" s="200"/>
      <c r="I6" s="296"/>
      <c r="J6" s="310" t="s">
        <v>20</v>
      </c>
      <c r="K6" s="8"/>
      <c r="L6" s="8"/>
      <c r="M6" s="9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38" t="s">
        <v>49</v>
      </c>
      <c r="J7" s="311" t="s">
        <v>5</v>
      </c>
      <c r="K7" s="10" t="s">
        <v>6</v>
      </c>
      <c r="L7" s="10" t="s">
        <v>10</v>
      </c>
      <c r="M7" s="11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4"/>
      <c r="I8" s="35"/>
      <c r="J8" s="312"/>
      <c r="K8" s="17"/>
      <c r="L8" s="16"/>
      <c r="M8" s="18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8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16">
        <f>SUM(G9*H9)*I9</f>
        <v>0</v>
      </c>
      <c r="K9" s="185">
        <v>0</v>
      </c>
      <c r="L9" s="185">
        <v>0</v>
      </c>
      <c r="M9" s="185">
        <v>0</v>
      </c>
      <c r="N9" s="54">
        <f>J9</f>
        <v>0</v>
      </c>
      <c r="O9" s="55">
        <f t="shared" ref="O9" si="0">SUM(G9)*K9</f>
        <v>0</v>
      </c>
      <c r="P9" s="55">
        <f t="shared" ref="P9" si="1">SUM(L9)</f>
        <v>0</v>
      </c>
      <c r="Q9" s="56">
        <f t="shared" ref="Q9:Q10" si="2">SUM(G9)*M9</f>
        <v>0</v>
      </c>
      <c r="R9" s="77">
        <f t="shared" ref="R9:R10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16">
        <f t="shared" ref="J10:J58" si="5">SUM(G10*H10)*I10</f>
        <v>0</v>
      </c>
      <c r="K10" s="185">
        <v>0</v>
      </c>
      <c r="L10" s="185">
        <v>0</v>
      </c>
      <c r="M10" s="185">
        <v>0</v>
      </c>
      <c r="N10" s="54">
        <f t="shared" ref="N10:N58" si="6">J10</f>
        <v>0</v>
      </c>
      <c r="O10" s="55">
        <f t="shared" ref="O10:O58" si="7">SUM(G10)*K10</f>
        <v>0</v>
      </c>
      <c r="P10" s="55">
        <f t="shared" ref="P10:P58" si="8">SUM(L10)</f>
        <v>0</v>
      </c>
      <c r="Q10" s="56">
        <f t="shared" si="2"/>
        <v>0</v>
      </c>
      <c r="R10" s="77">
        <f t="shared" si="3"/>
        <v>0</v>
      </c>
      <c r="S10" s="247" t="e">
        <f t="shared" ref="S10:S58" si="9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16">
        <f t="shared" si="5"/>
        <v>0</v>
      </c>
      <c r="K11" s="185">
        <v>0</v>
      </c>
      <c r="L11" s="185">
        <v>0</v>
      </c>
      <c r="M11" s="185">
        <v>0</v>
      </c>
      <c r="N11" s="54">
        <f t="shared" si="6"/>
        <v>0</v>
      </c>
      <c r="O11" s="55">
        <f t="shared" si="7"/>
        <v>0</v>
      </c>
      <c r="P11" s="55">
        <f t="shared" si="8"/>
        <v>0</v>
      </c>
      <c r="Q11" s="56">
        <f t="shared" ref="Q11:Q58" si="10">SUM(G11)*M11</f>
        <v>0</v>
      </c>
      <c r="R11" s="77">
        <f t="shared" ref="R11:R58" si="11">SUM(N11:Q11)</f>
        <v>0</v>
      </c>
      <c r="S11" s="247" t="e">
        <f t="shared" si="9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1">
        <f>'summary sheet'!$E$2</f>
        <v>120</v>
      </c>
      <c r="J12" s="316">
        <f t="shared" si="5"/>
        <v>0</v>
      </c>
      <c r="K12" s="185">
        <v>0</v>
      </c>
      <c r="L12" s="185">
        <v>0</v>
      </c>
      <c r="M12" s="185">
        <v>0</v>
      </c>
      <c r="N12" s="54">
        <f t="shared" si="6"/>
        <v>0</v>
      </c>
      <c r="O12" s="55">
        <f t="shared" si="7"/>
        <v>0</v>
      </c>
      <c r="P12" s="55">
        <f t="shared" si="8"/>
        <v>0</v>
      </c>
      <c r="Q12" s="56">
        <f t="shared" si="10"/>
        <v>0</v>
      </c>
      <c r="R12" s="77">
        <f t="shared" si="11"/>
        <v>0</v>
      </c>
      <c r="S12" s="247" t="e">
        <f t="shared" si="9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1">
        <f>'summary sheet'!$E$2</f>
        <v>120</v>
      </c>
      <c r="J13" s="316">
        <f t="shared" si="5"/>
        <v>0</v>
      </c>
      <c r="K13" s="185">
        <v>0</v>
      </c>
      <c r="L13" s="185">
        <v>0</v>
      </c>
      <c r="M13" s="185">
        <v>0</v>
      </c>
      <c r="N13" s="54">
        <f t="shared" si="6"/>
        <v>0</v>
      </c>
      <c r="O13" s="55">
        <f t="shared" si="7"/>
        <v>0</v>
      </c>
      <c r="P13" s="55">
        <f t="shared" si="8"/>
        <v>0</v>
      </c>
      <c r="Q13" s="56">
        <f t="shared" si="10"/>
        <v>0</v>
      </c>
      <c r="R13" s="77">
        <f t="shared" si="11"/>
        <v>0</v>
      </c>
      <c r="S13" s="247" t="e">
        <f t="shared" si="9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1">
        <f>'summary sheet'!$E$2</f>
        <v>120</v>
      </c>
      <c r="J14" s="316">
        <f t="shared" si="5"/>
        <v>0</v>
      </c>
      <c r="K14" s="185">
        <v>0</v>
      </c>
      <c r="L14" s="185">
        <v>0</v>
      </c>
      <c r="M14" s="185">
        <v>0</v>
      </c>
      <c r="N14" s="54">
        <f t="shared" si="6"/>
        <v>0</v>
      </c>
      <c r="O14" s="55">
        <f t="shared" si="7"/>
        <v>0</v>
      </c>
      <c r="P14" s="55">
        <f t="shared" si="8"/>
        <v>0</v>
      </c>
      <c r="Q14" s="56">
        <f t="shared" si="10"/>
        <v>0</v>
      </c>
      <c r="R14" s="77">
        <f t="shared" si="11"/>
        <v>0</v>
      </c>
      <c r="S14" s="247" t="e">
        <f t="shared" si="9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1">
        <f>'summary sheet'!$E$2</f>
        <v>120</v>
      </c>
      <c r="J15" s="316">
        <f t="shared" si="5"/>
        <v>0</v>
      </c>
      <c r="K15" s="185">
        <v>0</v>
      </c>
      <c r="L15" s="185">
        <v>0</v>
      </c>
      <c r="M15" s="185">
        <v>0</v>
      </c>
      <c r="N15" s="54">
        <f t="shared" si="6"/>
        <v>0</v>
      </c>
      <c r="O15" s="55">
        <f t="shared" si="7"/>
        <v>0</v>
      </c>
      <c r="P15" s="55">
        <f t="shared" si="8"/>
        <v>0</v>
      </c>
      <c r="Q15" s="56">
        <f t="shared" si="10"/>
        <v>0</v>
      </c>
      <c r="R15" s="77">
        <f t="shared" si="11"/>
        <v>0</v>
      </c>
      <c r="S15" s="247" t="e">
        <f t="shared" si="9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1">
        <f>'summary sheet'!$E$2</f>
        <v>120</v>
      </c>
      <c r="J16" s="316">
        <f t="shared" si="5"/>
        <v>0</v>
      </c>
      <c r="K16" s="185">
        <v>0</v>
      </c>
      <c r="L16" s="185">
        <v>0</v>
      </c>
      <c r="M16" s="185">
        <v>0</v>
      </c>
      <c r="N16" s="54">
        <f t="shared" si="6"/>
        <v>0</v>
      </c>
      <c r="O16" s="55">
        <f t="shared" si="7"/>
        <v>0</v>
      </c>
      <c r="P16" s="55">
        <f t="shared" si="8"/>
        <v>0</v>
      </c>
      <c r="Q16" s="56">
        <f t="shared" si="10"/>
        <v>0</v>
      </c>
      <c r="R16" s="77">
        <f t="shared" si="11"/>
        <v>0</v>
      </c>
      <c r="S16" s="247" t="e">
        <f t="shared" si="9"/>
        <v>#DIV/0!</v>
      </c>
      <c r="T16" s="206" t="e">
        <f t="shared" si="4"/>
        <v>#DIV/0!</v>
      </c>
      <c r="U16" s="89"/>
    </row>
    <row r="17" spans="1:21">
      <c r="A17" s="226">
        <v>9</v>
      </c>
      <c r="B17" s="178"/>
      <c r="C17" s="112"/>
      <c r="D17" s="178"/>
      <c r="E17" s="112"/>
      <c r="F17" s="112"/>
      <c r="G17" s="171"/>
      <c r="H17" s="225"/>
      <c r="I17" s="301">
        <f>'summary sheet'!$E$2</f>
        <v>120</v>
      </c>
      <c r="J17" s="316">
        <f t="shared" si="5"/>
        <v>0</v>
      </c>
      <c r="K17" s="185">
        <v>0</v>
      </c>
      <c r="L17" s="185">
        <v>0</v>
      </c>
      <c r="M17" s="185">
        <v>0</v>
      </c>
      <c r="N17" s="54">
        <f t="shared" si="6"/>
        <v>0</v>
      </c>
      <c r="O17" s="55">
        <f t="shared" si="7"/>
        <v>0</v>
      </c>
      <c r="P17" s="55">
        <f t="shared" si="8"/>
        <v>0</v>
      </c>
      <c r="Q17" s="56">
        <f t="shared" si="10"/>
        <v>0</v>
      </c>
      <c r="R17" s="77">
        <f t="shared" si="11"/>
        <v>0</v>
      </c>
      <c r="S17" s="247" t="e">
        <f t="shared" si="9"/>
        <v>#DIV/0!</v>
      </c>
      <c r="T17" s="206" t="e">
        <f t="shared" si="4"/>
        <v>#DIV/0!</v>
      </c>
      <c r="U17" s="89"/>
    </row>
    <row r="18" spans="1:21">
      <c r="A18" s="226">
        <v>10</v>
      </c>
      <c r="B18" s="178"/>
      <c r="C18" s="112"/>
      <c r="D18" s="178"/>
      <c r="E18" s="112"/>
      <c r="F18" s="112"/>
      <c r="G18" s="171"/>
      <c r="H18" s="225"/>
      <c r="I18" s="301">
        <f>'summary sheet'!$E$2</f>
        <v>120</v>
      </c>
      <c r="J18" s="316">
        <f t="shared" si="5"/>
        <v>0</v>
      </c>
      <c r="K18" s="185">
        <v>0</v>
      </c>
      <c r="L18" s="185">
        <v>0</v>
      </c>
      <c r="M18" s="185">
        <v>0</v>
      </c>
      <c r="N18" s="54">
        <f t="shared" si="6"/>
        <v>0</v>
      </c>
      <c r="O18" s="55">
        <f t="shared" si="7"/>
        <v>0</v>
      </c>
      <c r="P18" s="55">
        <f t="shared" si="8"/>
        <v>0</v>
      </c>
      <c r="Q18" s="56">
        <f t="shared" si="10"/>
        <v>0</v>
      </c>
      <c r="R18" s="77">
        <f t="shared" si="11"/>
        <v>0</v>
      </c>
      <c r="S18" s="247" t="e">
        <f t="shared" si="9"/>
        <v>#DIV/0!</v>
      </c>
      <c r="T18" s="206" t="e">
        <f t="shared" si="4"/>
        <v>#DIV/0!</v>
      </c>
      <c r="U18" s="89"/>
    </row>
    <row r="19" spans="1:21">
      <c r="A19" s="226">
        <v>11</v>
      </c>
      <c r="B19" s="178"/>
      <c r="C19" s="112"/>
      <c r="D19" s="178"/>
      <c r="E19" s="112"/>
      <c r="F19" s="112"/>
      <c r="G19" s="171"/>
      <c r="H19" s="225"/>
      <c r="I19" s="301">
        <f>'summary sheet'!$E$2</f>
        <v>120</v>
      </c>
      <c r="J19" s="316">
        <f t="shared" si="5"/>
        <v>0</v>
      </c>
      <c r="K19" s="185">
        <v>0</v>
      </c>
      <c r="L19" s="185">
        <v>0</v>
      </c>
      <c r="M19" s="185">
        <v>0</v>
      </c>
      <c r="N19" s="54">
        <f t="shared" si="6"/>
        <v>0</v>
      </c>
      <c r="O19" s="55">
        <f t="shared" si="7"/>
        <v>0</v>
      </c>
      <c r="P19" s="55">
        <f t="shared" si="8"/>
        <v>0</v>
      </c>
      <c r="Q19" s="56">
        <f t="shared" si="10"/>
        <v>0</v>
      </c>
      <c r="R19" s="77">
        <f t="shared" si="11"/>
        <v>0</v>
      </c>
      <c r="S19" s="247" t="e">
        <f t="shared" si="9"/>
        <v>#DIV/0!</v>
      </c>
      <c r="T19" s="206" t="e">
        <f t="shared" si="4"/>
        <v>#DIV/0!</v>
      </c>
      <c r="U19" s="89"/>
    </row>
    <row r="20" spans="1:21">
      <c r="A20" s="226">
        <v>12</v>
      </c>
      <c r="B20" s="178"/>
      <c r="C20" s="112"/>
      <c r="D20" s="178"/>
      <c r="E20" s="112"/>
      <c r="F20" s="112"/>
      <c r="G20" s="171"/>
      <c r="H20" s="225"/>
      <c r="I20" s="301">
        <f>'summary sheet'!$E$2</f>
        <v>120</v>
      </c>
      <c r="J20" s="316">
        <f t="shared" si="5"/>
        <v>0</v>
      </c>
      <c r="K20" s="185">
        <v>0</v>
      </c>
      <c r="L20" s="185">
        <v>0</v>
      </c>
      <c r="M20" s="185">
        <v>0</v>
      </c>
      <c r="N20" s="54">
        <f t="shared" si="6"/>
        <v>0</v>
      </c>
      <c r="O20" s="55">
        <f t="shared" si="7"/>
        <v>0</v>
      </c>
      <c r="P20" s="55">
        <f t="shared" si="8"/>
        <v>0</v>
      </c>
      <c r="Q20" s="56">
        <f t="shared" si="10"/>
        <v>0</v>
      </c>
      <c r="R20" s="77">
        <f t="shared" si="11"/>
        <v>0</v>
      </c>
      <c r="S20" s="247" t="e">
        <f t="shared" si="9"/>
        <v>#DIV/0!</v>
      </c>
      <c r="T20" s="206" t="e">
        <f t="shared" si="4"/>
        <v>#DIV/0!</v>
      </c>
      <c r="U20" s="89"/>
    </row>
    <row r="21" spans="1:21">
      <c r="A21" s="226">
        <v>13</v>
      </c>
      <c r="B21" s="178"/>
      <c r="C21" s="112"/>
      <c r="D21" s="178"/>
      <c r="E21" s="112"/>
      <c r="F21" s="112"/>
      <c r="G21" s="171"/>
      <c r="H21" s="225"/>
      <c r="I21" s="301">
        <f>'summary sheet'!$E$2</f>
        <v>120</v>
      </c>
      <c r="J21" s="316">
        <f t="shared" si="5"/>
        <v>0</v>
      </c>
      <c r="K21" s="185">
        <v>0</v>
      </c>
      <c r="L21" s="185">
        <v>0</v>
      </c>
      <c r="M21" s="185">
        <v>0</v>
      </c>
      <c r="N21" s="54">
        <f t="shared" si="6"/>
        <v>0</v>
      </c>
      <c r="O21" s="55">
        <f t="shared" si="7"/>
        <v>0</v>
      </c>
      <c r="P21" s="55">
        <f t="shared" si="8"/>
        <v>0</v>
      </c>
      <c r="Q21" s="56">
        <f t="shared" si="10"/>
        <v>0</v>
      </c>
      <c r="R21" s="77">
        <f t="shared" si="11"/>
        <v>0</v>
      </c>
      <c r="S21" s="247" t="e">
        <f t="shared" si="9"/>
        <v>#DIV/0!</v>
      </c>
      <c r="T21" s="206" t="e">
        <f t="shared" si="4"/>
        <v>#DIV/0!</v>
      </c>
      <c r="U21" s="89"/>
    </row>
    <row r="22" spans="1:21">
      <c r="A22" s="226">
        <v>14</v>
      </c>
      <c r="B22" s="178"/>
      <c r="C22" s="112"/>
      <c r="D22" s="178"/>
      <c r="E22" s="112"/>
      <c r="F22" s="112"/>
      <c r="G22" s="171"/>
      <c r="H22" s="225"/>
      <c r="I22" s="301">
        <f>'summary sheet'!$E$2</f>
        <v>120</v>
      </c>
      <c r="J22" s="316">
        <f t="shared" si="5"/>
        <v>0</v>
      </c>
      <c r="K22" s="185">
        <v>0</v>
      </c>
      <c r="L22" s="185">
        <v>0</v>
      </c>
      <c r="M22" s="185">
        <v>0</v>
      </c>
      <c r="N22" s="54">
        <f t="shared" si="6"/>
        <v>0</v>
      </c>
      <c r="O22" s="55">
        <f t="shared" si="7"/>
        <v>0</v>
      </c>
      <c r="P22" s="55">
        <f t="shared" si="8"/>
        <v>0</v>
      </c>
      <c r="Q22" s="56">
        <f t="shared" si="10"/>
        <v>0</v>
      </c>
      <c r="R22" s="77">
        <f t="shared" si="11"/>
        <v>0</v>
      </c>
      <c r="S22" s="247" t="e">
        <f t="shared" si="9"/>
        <v>#DIV/0!</v>
      </c>
      <c r="T22" s="206" t="e">
        <f t="shared" si="4"/>
        <v>#DIV/0!</v>
      </c>
      <c r="U22" s="89"/>
    </row>
    <row r="23" spans="1:21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1">
        <f>'summary sheet'!$E$2</f>
        <v>120</v>
      </c>
      <c r="J23" s="316">
        <f t="shared" si="5"/>
        <v>0</v>
      </c>
      <c r="K23" s="185">
        <v>0</v>
      </c>
      <c r="L23" s="185">
        <v>0</v>
      </c>
      <c r="M23" s="185">
        <v>0</v>
      </c>
      <c r="N23" s="54">
        <f t="shared" si="6"/>
        <v>0</v>
      </c>
      <c r="O23" s="55">
        <f t="shared" si="7"/>
        <v>0</v>
      </c>
      <c r="P23" s="55">
        <f t="shared" si="8"/>
        <v>0</v>
      </c>
      <c r="Q23" s="56">
        <f t="shared" si="10"/>
        <v>0</v>
      </c>
      <c r="R23" s="77">
        <f t="shared" si="11"/>
        <v>0</v>
      </c>
      <c r="S23" s="247" t="e">
        <f t="shared" si="9"/>
        <v>#DIV/0!</v>
      </c>
      <c r="T23" s="206" t="e">
        <f t="shared" si="4"/>
        <v>#DIV/0!</v>
      </c>
      <c r="U23" s="89"/>
    </row>
    <row r="24" spans="1:21" hidden="1">
      <c r="A24" s="226">
        <v>16</v>
      </c>
      <c r="B24" s="178"/>
      <c r="C24" s="112"/>
      <c r="D24" s="178"/>
      <c r="E24" s="112"/>
      <c r="F24" s="112"/>
      <c r="G24" s="171"/>
      <c r="H24" s="225"/>
      <c r="I24" s="301">
        <f>'summary sheet'!$E$2</f>
        <v>120</v>
      </c>
      <c r="J24" s="316">
        <f t="shared" si="5"/>
        <v>0</v>
      </c>
      <c r="K24" s="185">
        <v>0</v>
      </c>
      <c r="L24" s="185">
        <v>0</v>
      </c>
      <c r="M24" s="185">
        <v>0</v>
      </c>
      <c r="N24" s="54">
        <f t="shared" si="6"/>
        <v>0</v>
      </c>
      <c r="O24" s="55">
        <f t="shared" si="7"/>
        <v>0</v>
      </c>
      <c r="P24" s="55">
        <f t="shared" si="8"/>
        <v>0</v>
      </c>
      <c r="Q24" s="56">
        <f t="shared" si="10"/>
        <v>0</v>
      </c>
      <c r="R24" s="77">
        <f t="shared" si="11"/>
        <v>0</v>
      </c>
      <c r="S24" s="247" t="e">
        <f t="shared" si="9"/>
        <v>#DIV/0!</v>
      </c>
      <c r="T24" s="206" t="e">
        <f t="shared" si="4"/>
        <v>#DIV/0!</v>
      </c>
      <c r="U24" s="89"/>
    </row>
    <row r="25" spans="1:21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1">
        <f>'summary sheet'!$E$2</f>
        <v>120</v>
      </c>
      <c r="J25" s="316">
        <f t="shared" si="5"/>
        <v>0</v>
      </c>
      <c r="K25" s="185">
        <v>0</v>
      </c>
      <c r="L25" s="185">
        <v>0</v>
      </c>
      <c r="M25" s="185">
        <v>0</v>
      </c>
      <c r="N25" s="54">
        <f t="shared" si="6"/>
        <v>0</v>
      </c>
      <c r="O25" s="55">
        <f t="shared" si="7"/>
        <v>0</v>
      </c>
      <c r="P25" s="55">
        <f t="shared" si="8"/>
        <v>0</v>
      </c>
      <c r="Q25" s="56">
        <f t="shared" si="10"/>
        <v>0</v>
      </c>
      <c r="R25" s="77">
        <f t="shared" si="11"/>
        <v>0</v>
      </c>
      <c r="S25" s="247" t="e">
        <f t="shared" si="9"/>
        <v>#DIV/0!</v>
      </c>
      <c r="T25" s="206" t="e">
        <f t="shared" si="4"/>
        <v>#DIV/0!</v>
      </c>
      <c r="U25" s="89"/>
    </row>
    <row r="26" spans="1:21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01">
        <f t="shared" ref="J26:J32" si="12">SUM(I26*H26)*G26</f>
        <v>0</v>
      </c>
      <c r="K26" s="187">
        <v>0</v>
      </c>
      <c r="L26" s="187">
        <v>0</v>
      </c>
      <c r="M26" s="187">
        <v>0</v>
      </c>
      <c r="N26" s="54">
        <f t="shared" si="6"/>
        <v>0</v>
      </c>
      <c r="O26" s="55">
        <f t="shared" si="7"/>
        <v>0</v>
      </c>
      <c r="P26" s="55">
        <f t="shared" si="8"/>
        <v>0</v>
      </c>
      <c r="Q26" s="56">
        <f t="shared" ref="Q26:Q32" si="13">SUM(G26)*M26</f>
        <v>0</v>
      </c>
      <c r="R26" s="77">
        <f t="shared" si="11"/>
        <v>0</v>
      </c>
      <c r="S26" s="247" t="e">
        <f t="shared" si="9"/>
        <v>#DIV/0!</v>
      </c>
      <c r="T26" s="206" t="e">
        <f t="shared" si="4"/>
        <v>#DIV/0!</v>
      </c>
      <c r="U26" s="89"/>
    </row>
    <row r="27" spans="1:21" hidden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01">
        <f t="shared" si="12"/>
        <v>0</v>
      </c>
      <c r="K27" s="187">
        <v>0</v>
      </c>
      <c r="L27" s="187">
        <v>0</v>
      </c>
      <c r="M27" s="187">
        <v>0</v>
      </c>
      <c r="N27" s="54">
        <f t="shared" si="6"/>
        <v>0</v>
      </c>
      <c r="O27" s="55">
        <f t="shared" si="7"/>
        <v>0</v>
      </c>
      <c r="P27" s="55">
        <f t="shared" si="8"/>
        <v>0</v>
      </c>
      <c r="Q27" s="56">
        <f t="shared" si="13"/>
        <v>0</v>
      </c>
      <c r="R27" s="77">
        <f t="shared" si="11"/>
        <v>0</v>
      </c>
      <c r="S27" s="247" t="e">
        <f t="shared" si="9"/>
        <v>#DIV/0!</v>
      </c>
      <c r="T27" s="206" t="e">
        <f t="shared" si="4"/>
        <v>#DIV/0!</v>
      </c>
      <c r="U27" s="89"/>
    </row>
    <row r="28" spans="1:21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01">
        <f t="shared" si="12"/>
        <v>0</v>
      </c>
      <c r="K28" s="187">
        <v>0</v>
      </c>
      <c r="L28" s="187">
        <v>0</v>
      </c>
      <c r="M28" s="187">
        <v>0</v>
      </c>
      <c r="N28" s="54">
        <f t="shared" si="6"/>
        <v>0</v>
      </c>
      <c r="O28" s="55">
        <f t="shared" si="7"/>
        <v>0</v>
      </c>
      <c r="P28" s="55">
        <f t="shared" si="8"/>
        <v>0</v>
      </c>
      <c r="Q28" s="56">
        <f t="shared" si="13"/>
        <v>0</v>
      </c>
      <c r="R28" s="77">
        <f t="shared" si="11"/>
        <v>0</v>
      </c>
      <c r="S28" s="247" t="e">
        <f t="shared" si="9"/>
        <v>#DIV/0!</v>
      </c>
      <c r="T28" s="206" t="e">
        <f t="shared" si="4"/>
        <v>#DIV/0!</v>
      </c>
      <c r="U28" s="89"/>
    </row>
    <row r="29" spans="1:21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01">
        <f t="shared" si="12"/>
        <v>0</v>
      </c>
      <c r="K29" s="187">
        <v>0</v>
      </c>
      <c r="L29" s="187">
        <v>0</v>
      </c>
      <c r="M29" s="187">
        <v>0</v>
      </c>
      <c r="N29" s="54">
        <f t="shared" si="6"/>
        <v>0</v>
      </c>
      <c r="O29" s="55">
        <f t="shared" si="7"/>
        <v>0</v>
      </c>
      <c r="P29" s="55">
        <f t="shared" si="8"/>
        <v>0</v>
      </c>
      <c r="Q29" s="56">
        <f t="shared" si="13"/>
        <v>0</v>
      </c>
      <c r="R29" s="77">
        <f t="shared" si="11"/>
        <v>0</v>
      </c>
      <c r="S29" s="247" t="e">
        <f t="shared" si="9"/>
        <v>#DIV/0!</v>
      </c>
      <c r="T29" s="206" t="e">
        <f t="shared" si="4"/>
        <v>#DIV/0!</v>
      </c>
      <c r="U29" s="89"/>
    </row>
    <row r="30" spans="1:21" hidden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01">
        <f t="shared" si="12"/>
        <v>0</v>
      </c>
      <c r="K30" s="187">
        <v>0</v>
      </c>
      <c r="L30" s="187">
        <v>0</v>
      </c>
      <c r="M30" s="187">
        <v>0</v>
      </c>
      <c r="N30" s="54">
        <f t="shared" si="6"/>
        <v>0</v>
      </c>
      <c r="O30" s="55">
        <f t="shared" si="7"/>
        <v>0</v>
      </c>
      <c r="P30" s="55">
        <f t="shared" si="8"/>
        <v>0</v>
      </c>
      <c r="Q30" s="56">
        <f t="shared" si="13"/>
        <v>0</v>
      </c>
      <c r="R30" s="77">
        <f t="shared" si="11"/>
        <v>0</v>
      </c>
      <c r="S30" s="247" t="e">
        <f t="shared" si="9"/>
        <v>#DIV/0!</v>
      </c>
      <c r="T30" s="206" t="e">
        <f t="shared" si="4"/>
        <v>#DIV/0!</v>
      </c>
      <c r="U30" s="89"/>
    </row>
    <row r="31" spans="1:21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01">
        <f t="shared" si="12"/>
        <v>0</v>
      </c>
      <c r="K31" s="187">
        <v>0</v>
      </c>
      <c r="L31" s="187">
        <v>0</v>
      </c>
      <c r="M31" s="187">
        <v>0</v>
      </c>
      <c r="N31" s="54">
        <f t="shared" si="6"/>
        <v>0</v>
      </c>
      <c r="O31" s="55">
        <f t="shared" si="7"/>
        <v>0</v>
      </c>
      <c r="P31" s="55">
        <f t="shared" si="8"/>
        <v>0</v>
      </c>
      <c r="Q31" s="56">
        <f t="shared" si="13"/>
        <v>0</v>
      </c>
      <c r="R31" s="77">
        <f t="shared" si="11"/>
        <v>0</v>
      </c>
      <c r="S31" s="247" t="e">
        <f t="shared" si="9"/>
        <v>#DIV/0!</v>
      </c>
      <c r="T31" s="206" t="e">
        <f t="shared" si="4"/>
        <v>#DIV/0!</v>
      </c>
      <c r="U31" s="89"/>
    </row>
    <row r="32" spans="1:21" hidden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01">
        <f t="shared" si="12"/>
        <v>0</v>
      </c>
      <c r="K32" s="187">
        <v>0</v>
      </c>
      <c r="L32" s="187">
        <v>0</v>
      </c>
      <c r="M32" s="187">
        <v>0</v>
      </c>
      <c r="N32" s="54">
        <f t="shared" si="6"/>
        <v>0</v>
      </c>
      <c r="O32" s="55">
        <f t="shared" si="7"/>
        <v>0</v>
      </c>
      <c r="P32" s="55">
        <f t="shared" si="8"/>
        <v>0</v>
      </c>
      <c r="Q32" s="56">
        <f t="shared" si="13"/>
        <v>0</v>
      </c>
      <c r="R32" s="77">
        <f t="shared" si="11"/>
        <v>0</v>
      </c>
      <c r="S32" s="247" t="e">
        <f t="shared" si="9"/>
        <v>#DIV/0!</v>
      </c>
      <c r="T32" s="206" t="e">
        <f t="shared" si="4"/>
        <v>#DIV/0!</v>
      </c>
      <c r="U32" s="89"/>
    </row>
    <row r="33" spans="1:22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ref="J33" si="14">SUM(H33*I33)*G33</f>
        <v>0</v>
      </c>
      <c r="K33" s="118">
        <v>0</v>
      </c>
      <c r="L33" s="118">
        <v>0</v>
      </c>
      <c r="M33" s="119">
        <v>0</v>
      </c>
      <c r="N33" s="54">
        <f t="shared" si="6"/>
        <v>0</v>
      </c>
      <c r="O33" s="55">
        <f t="shared" si="7"/>
        <v>0</v>
      </c>
      <c r="P33" s="55">
        <f t="shared" si="8"/>
        <v>0</v>
      </c>
      <c r="Q33" s="56">
        <f t="shared" ref="Q33" si="15">M33</f>
        <v>0</v>
      </c>
      <c r="R33" s="77">
        <f t="shared" si="11"/>
        <v>0</v>
      </c>
      <c r="S33" s="247" t="e">
        <f t="shared" si="9"/>
        <v>#DIV/0!</v>
      </c>
      <c r="T33" s="206" t="e">
        <f t="shared" si="4"/>
        <v>#DIV/0!</v>
      </c>
      <c r="U33" s="89"/>
    </row>
    <row r="34" spans="1:22" ht="12.75" hidden="1" customHeight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>SUM(H34*I34)*G34</f>
        <v>0</v>
      </c>
      <c r="K34" s="118">
        <v>0</v>
      </c>
      <c r="L34" s="118">
        <v>0</v>
      </c>
      <c r="M34" s="119">
        <v>0</v>
      </c>
      <c r="N34" s="54">
        <f>J34</f>
        <v>0</v>
      </c>
      <c r="O34" s="55">
        <f t="shared" si="7"/>
        <v>0</v>
      </c>
      <c r="P34" s="55">
        <f t="shared" si="8"/>
        <v>0</v>
      </c>
      <c r="Q34" s="56">
        <f>M34</f>
        <v>0</v>
      </c>
      <c r="R34" s="77">
        <f t="shared" si="11"/>
        <v>0</v>
      </c>
      <c r="S34" s="247" t="e">
        <f t="shared" si="9"/>
        <v>#DIV/0!</v>
      </c>
      <c r="T34" s="206" t="e">
        <f t="shared" si="4"/>
        <v>#DIV/0!</v>
      </c>
      <c r="U34" s="88"/>
      <c r="V34" s="51"/>
    </row>
    <row r="35" spans="1:22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>SUM(H35*I35)*G35</f>
        <v>0</v>
      </c>
      <c r="K35" s="118">
        <v>0</v>
      </c>
      <c r="L35" s="118">
        <v>0</v>
      </c>
      <c r="M35" s="119">
        <v>0</v>
      </c>
      <c r="N35" s="54">
        <f t="shared" ref="N35:N55" si="16">J35</f>
        <v>0</v>
      </c>
      <c r="O35" s="55">
        <f t="shared" si="7"/>
        <v>0</v>
      </c>
      <c r="P35" s="55">
        <f t="shared" si="8"/>
        <v>0</v>
      </c>
      <c r="Q35" s="56">
        <f t="shared" ref="Q35:Q55" si="17">M35</f>
        <v>0</v>
      </c>
      <c r="R35" s="77">
        <f t="shared" si="11"/>
        <v>0</v>
      </c>
      <c r="S35" s="247" t="e">
        <f t="shared" si="9"/>
        <v>#DIV/0!</v>
      </c>
      <c r="T35" s="206" t="e">
        <f t="shared" si="4"/>
        <v>#DIV/0!</v>
      </c>
      <c r="U35" s="89"/>
      <c r="V35" s="51"/>
    </row>
    <row r="36" spans="1:22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ref="J36:J55" si="18">SUM(H36*I36)*G36</f>
        <v>0</v>
      </c>
      <c r="K36" s="118">
        <v>0</v>
      </c>
      <c r="L36" s="118">
        <v>0</v>
      </c>
      <c r="M36" s="119">
        <v>0</v>
      </c>
      <c r="N36" s="54">
        <f t="shared" si="16"/>
        <v>0</v>
      </c>
      <c r="O36" s="55">
        <f t="shared" si="7"/>
        <v>0</v>
      </c>
      <c r="P36" s="55">
        <f t="shared" si="8"/>
        <v>0</v>
      </c>
      <c r="Q36" s="56">
        <f t="shared" si="17"/>
        <v>0</v>
      </c>
      <c r="R36" s="77">
        <f t="shared" si="11"/>
        <v>0</v>
      </c>
      <c r="S36" s="247" t="e">
        <f t="shared" si="9"/>
        <v>#DIV/0!</v>
      </c>
      <c r="T36" s="206" t="e">
        <f t="shared" si="4"/>
        <v>#DIV/0!</v>
      </c>
      <c r="U36" s="89"/>
    </row>
    <row r="37" spans="1:22" ht="13.2" hidden="1" customHeight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8"/>
        <v>0</v>
      </c>
      <c r="K37" s="118">
        <v>0</v>
      </c>
      <c r="L37" s="118">
        <v>0</v>
      </c>
      <c r="M37" s="119">
        <v>0</v>
      </c>
      <c r="N37" s="54">
        <f t="shared" si="16"/>
        <v>0</v>
      </c>
      <c r="O37" s="55">
        <f t="shared" si="7"/>
        <v>0</v>
      </c>
      <c r="P37" s="55">
        <f t="shared" si="8"/>
        <v>0</v>
      </c>
      <c r="Q37" s="56">
        <f t="shared" si="17"/>
        <v>0</v>
      </c>
      <c r="R37" s="77">
        <f t="shared" si="11"/>
        <v>0</v>
      </c>
      <c r="S37" s="247" t="e">
        <f t="shared" si="9"/>
        <v>#DIV/0!</v>
      </c>
      <c r="T37" s="206" t="e">
        <f t="shared" si="4"/>
        <v>#DIV/0!</v>
      </c>
      <c r="U37" s="89"/>
    </row>
    <row r="38" spans="1:22" ht="13.2" hidden="1" customHeight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8"/>
        <v>0</v>
      </c>
      <c r="K38" s="118">
        <v>0</v>
      </c>
      <c r="L38" s="118">
        <v>0</v>
      </c>
      <c r="M38" s="119">
        <v>0</v>
      </c>
      <c r="N38" s="54">
        <f t="shared" si="16"/>
        <v>0</v>
      </c>
      <c r="O38" s="55">
        <f t="shared" si="7"/>
        <v>0</v>
      </c>
      <c r="P38" s="55">
        <f t="shared" si="8"/>
        <v>0</v>
      </c>
      <c r="Q38" s="56">
        <f t="shared" si="17"/>
        <v>0</v>
      </c>
      <c r="R38" s="77">
        <f t="shared" si="11"/>
        <v>0</v>
      </c>
      <c r="S38" s="247" t="e">
        <f t="shared" si="9"/>
        <v>#DIV/0!</v>
      </c>
      <c r="T38" s="206" t="e">
        <f t="shared" si="4"/>
        <v>#DIV/0!</v>
      </c>
      <c r="U38" s="89"/>
    </row>
    <row r="39" spans="1:22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8"/>
        <v>0</v>
      </c>
      <c r="K39" s="118">
        <v>0</v>
      </c>
      <c r="L39" s="118">
        <v>0</v>
      </c>
      <c r="M39" s="119">
        <v>0</v>
      </c>
      <c r="N39" s="54">
        <f t="shared" si="16"/>
        <v>0</v>
      </c>
      <c r="O39" s="55">
        <f t="shared" si="7"/>
        <v>0</v>
      </c>
      <c r="P39" s="55">
        <f t="shared" si="8"/>
        <v>0</v>
      </c>
      <c r="Q39" s="56">
        <f t="shared" si="17"/>
        <v>0</v>
      </c>
      <c r="R39" s="77">
        <f t="shared" si="11"/>
        <v>0</v>
      </c>
      <c r="S39" s="247" t="e">
        <f t="shared" si="9"/>
        <v>#DIV/0!</v>
      </c>
      <c r="T39" s="206" t="e">
        <f t="shared" si="4"/>
        <v>#DIV/0!</v>
      </c>
      <c r="U39" s="89"/>
    </row>
    <row r="40" spans="1:22" ht="13.2" hidden="1" customHeight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8"/>
        <v>0</v>
      </c>
      <c r="K40" s="118">
        <v>0</v>
      </c>
      <c r="L40" s="118">
        <v>0</v>
      </c>
      <c r="M40" s="119">
        <v>0</v>
      </c>
      <c r="N40" s="54">
        <f t="shared" si="16"/>
        <v>0</v>
      </c>
      <c r="O40" s="55">
        <f t="shared" si="7"/>
        <v>0</v>
      </c>
      <c r="P40" s="55">
        <f t="shared" si="8"/>
        <v>0</v>
      </c>
      <c r="Q40" s="56">
        <f t="shared" si="17"/>
        <v>0</v>
      </c>
      <c r="R40" s="77">
        <f t="shared" si="11"/>
        <v>0</v>
      </c>
      <c r="S40" s="247" t="e">
        <f t="shared" si="9"/>
        <v>#DIV/0!</v>
      </c>
      <c r="T40" s="206" t="e">
        <f t="shared" si="4"/>
        <v>#DIV/0!</v>
      </c>
      <c r="U40" s="89"/>
    </row>
    <row r="41" spans="1:22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8"/>
        <v>0</v>
      </c>
      <c r="K41" s="118">
        <v>0</v>
      </c>
      <c r="L41" s="118">
        <v>0</v>
      </c>
      <c r="M41" s="119">
        <v>0</v>
      </c>
      <c r="N41" s="54">
        <f t="shared" si="16"/>
        <v>0</v>
      </c>
      <c r="O41" s="55">
        <f t="shared" si="7"/>
        <v>0</v>
      </c>
      <c r="P41" s="55">
        <f t="shared" si="8"/>
        <v>0</v>
      </c>
      <c r="Q41" s="56">
        <f t="shared" si="17"/>
        <v>0</v>
      </c>
      <c r="R41" s="77">
        <f t="shared" si="11"/>
        <v>0</v>
      </c>
      <c r="S41" s="247" t="e">
        <f t="shared" si="9"/>
        <v>#DIV/0!</v>
      </c>
      <c r="T41" s="206" t="e">
        <f t="shared" si="4"/>
        <v>#DIV/0!</v>
      </c>
      <c r="U41" s="89"/>
    </row>
    <row r="42" spans="1:22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8"/>
        <v>0</v>
      </c>
      <c r="K42" s="118">
        <v>0</v>
      </c>
      <c r="L42" s="118">
        <v>0</v>
      </c>
      <c r="M42" s="119">
        <v>0</v>
      </c>
      <c r="N42" s="54">
        <f t="shared" si="16"/>
        <v>0</v>
      </c>
      <c r="O42" s="55">
        <f t="shared" si="7"/>
        <v>0</v>
      </c>
      <c r="P42" s="55">
        <f t="shared" si="8"/>
        <v>0</v>
      </c>
      <c r="Q42" s="56">
        <f t="shared" si="17"/>
        <v>0</v>
      </c>
      <c r="R42" s="77">
        <f t="shared" si="11"/>
        <v>0</v>
      </c>
      <c r="S42" s="247" t="e">
        <f t="shared" si="9"/>
        <v>#DIV/0!</v>
      </c>
      <c r="T42" s="206" t="e">
        <f t="shared" si="4"/>
        <v>#DIV/0!</v>
      </c>
      <c r="U42" s="89"/>
    </row>
    <row r="43" spans="1:22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8"/>
        <v>0</v>
      </c>
      <c r="K43" s="118">
        <v>0</v>
      </c>
      <c r="L43" s="118">
        <v>0</v>
      </c>
      <c r="M43" s="119">
        <v>0</v>
      </c>
      <c r="N43" s="54">
        <f t="shared" si="16"/>
        <v>0</v>
      </c>
      <c r="O43" s="55">
        <f t="shared" si="7"/>
        <v>0</v>
      </c>
      <c r="P43" s="55">
        <f t="shared" si="8"/>
        <v>0</v>
      </c>
      <c r="Q43" s="56">
        <f t="shared" si="17"/>
        <v>0</v>
      </c>
      <c r="R43" s="77">
        <f t="shared" si="11"/>
        <v>0</v>
      </c>
      <c r="S43" s="247" t="e">
        <f t="shared" si="9"/>
        <v>#DIV/0!</v>
      </c>
      <c r="T43" s="206" t="e">
        <f t="shared" si="4"/>
        <v>#DIV/0!</v>
      </c>
      <c r="U43" s="89"/>
    </row>
    <row r="44" spans="1:22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8"/>
        <v>0</v>
      </c>
      <c r="K44" s="118">
        <v>0</v>
      </c>
      <c r="L44" s="118">
        <v>0</v>
      </c>
      <c r="M44" s="119">
        <v>0</v>
      </c>
      <c r="N44" s="54">
        <f t="shared" si="16"/>
        <v>0</v>
      </c>
      <c r="O44" s="55">
        <f t="shared" si="7"/>
        <v>0</v>
      </c>
      <c r="P44" s="55">
        <f t="shared" si="8"/>
        <v>0</v>
      </c>
      <c r="Q44" s="56">
        <f t="shared" si="17"/>
        <v>0</v>
      </c>
      <c r="R44" s="77">
        <f t="shared" si="11"/>
        <v>0</v>
      </c>
      <c r="S44" s="247" t="e">
        <f t="shared" si="9"/>
        <v>#DIV/0!</v>
      </c>
      <c r="T44" s="206" t="e">
        <f t="shared" si="4"/>
        <v>#DIV/0!</v>
      </c>
      <c r="U44" s="89"/>
    </row>
    <row r="45" spans="1:22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8"/>
        <v>0</v>
      </c>
      <c r="K45" s="118">
        <v>0</v>
      </c>
      <c r="L45" s="118">
        <v>0</v>
      </c>
      <c r="M45" s="119">
        <v>0</v>
      </c>
      <c r="N45" s="54">
        <f t="shared" si="16"/>
        <v>0</v>
      </c>
      <c r="O45" s="55">
        <f t="shared" si="7"/>
        <v>0</v>
      </c>
      <c r="P45" s="55">
        <f t="shared" si="8"/>
        <v>0</v>
      </c>
      <c r="Q45" s="56">
        <f t="shared" si="17"/>
        <v>0</v>
      </c>
      <c r="R45" s="77">
        <f t="shared" si="11"/>
        <v>0</v>
      </c>
      <c r="S45" s="247" t="e">
        <f t="shared" si="9"/>
        <v>#DIV/0!</v>
      </c>
      <c r="T45" s="206" t="e">
        <f t="shared" si="4"/>
        <v>#DIV/0!</v>
      </c>
      <c r="U45" s="89"/>
    </row>
    <row r="46" spans="1:22" ht="13.2" hidden="1" customHeight="1">
      <c r="A46" s="226">
        <v>38</v>
      </c>
      <c r="B46" s="178"/>
      <c r="C46" s="112"/>
      <c r="D46" s="178"/>
      <c r="E46" s="112"/>
      <c r="F46" s="112"/>
      <c r="G46" s="171"/>
      <c r="H46" s="225"/>
      <c r="I46" s="302">
        <f>'summary sheet'!$E$2</f>
        <v>120</v>
      </c>
      <c r="J46" s="315">
        <f t="shared" si="18"/>
        <v>0</v>
      </c>
      <c r="K46" s="118">
        <v>0</v>
      </c>
      <c r="L46" s="118">
        <v>0</v>
      </c>
      <c r="M46" s="119">
        <v>0</v>
      </c>
      <c r="N46" s="54">
        <f t="shared" si="16"/>
        <v>0</v>
      </c>
      <c r="O46" s="55">
        <f t="shared" si="7"/>
        <v>0</v>
      </c>
      <c r="P46" s="55">
        <f t="shared" si="8"/>
        <v>0</v>
      </c>
      <c r="Q46" s="56">
        <f t="shared" si="17"/>
        <v>0</v>
      </c>
      <c r="R46" s="77">
        <f t="shared" si="11"/>
        <v>0</v>
      </c>
      <c r="S46" s="247" t="e">
        <f t="shared" si="9"/>
        <v>#DIV/0!</v>
      </c>
      <c r="T46" s="206" t="e">
        <f t="shared" si="4"/>
        <v>#DIV/0!</v>
      </c>
      <c r="U46" s="89"/>
    </row>
    <row r="47" spans="1:22" ht="13.2" hidden="1" customHeight="1">
      <c r="A47" s="226">
        <v>39</v>
      </c>
      <c r="B47" s="178"/>
      <c r="C47" s="112"/>
      <c r="D47" s="178"/>
      <c r="E47" s="112"/>
      <c r="F47" s="112"/>
      <c r="G47" s="171"/>
      <c r="H47" s="225"/>
      <c r="I47" s="302">
        <f>'summary sheet'!$E$2</f>
        <v>120</v>
      </c>
      <c r="J47" s="315">
        <f t="shared" si="18"/>
        <v>0</v>
      </c>
      <c r="K47" s="118">
        <v>0</v>
      </c>
      <c r="L47" s="118">
        <v>0</v>
      </c>
      <c r="M47" s="119">
        <v>0</v>
      </c>
      <c r="N47" s="54">
        <f t="shared" si="16"/>
        <v>0</v>
      </c>
      <c r="O47" s="55">
        <f t="shared" si="7"/>
        <v>0</v>
      </c>
      <c r="P47" s="55">
        <f t="shared" si="8"/>
        <v>0</v>
      </c>
      <c r="Q47" s="56">
        <f t="shared" si="17"/>
        <v>0</v>
      </c>
      <c r="R47" s="77">
        <f t="shared" si="11"/>
        <v>0</v>
      </c>
      <c r="S47" s="247" t="e">
        <f t="shared" si="9"/>
        <v>#DIV/0!</v>
      </c>
      <c r="T47" s="206" t="e">
        <f t="shared" si="4"/>
        <v>#DIV/0!</v>
      </c>
      <c r="U47" s="89"/>
    </row>
    <row r="48" spans="1:22" ht="13.2" hidden="1" customHeight="1">
      <c r="A48" s="226">
        <v>40</v>
      </c>
      <c r="B48" s="178"/>
      <c r="C48" s="112"/>
      <c r="D48" s="178"/>
      <c r="E48" s="112"/>
      <c r="F48" s="112"/>
      <c r="G48" s="171"/>
      <c r="H48" s="225"/>
      <c r="I48" s="302">
        <f>'summary sheet'!$E$2</f>
        <v>120</v>
      </c>
      <c r="J48" s="315">
        <f t="shared" si="18"/>
        <v>0</v>
      </c>
      <c r="K48" s="118">
        <v>0</v>
      </c>
      <c r="L48" s="118">
        <v>0</v>
      </c>
      <c r="M48" s="119">
        <v>0</v>
      </c>
      <c r="N48" s="54">
        <f t="shared" si="16"/>
        <v>0</v>
      </c>
      <c r="O48" s="55">
        <f t="shared" si="7"/>
        <v>0</v>
      </c>
      <c r="P48" s="55">
        <f t="shared" si="8"/>
        <v>0</v>
      </c>
      <c r="Q48" s="56">
        <f t="shared" si="17"/>
        <v>0</v>
      </c>
      <c r="R48" s="77">
        <f t="shared" si="11"/>
        <v>0</v>
      </c>
      <c r="S48" s="247" t="e">
        <f t="shared" si="9"/>
        <v>#DIV/0!</v>
      </c>
      <c r="T48" s="206" t="e">
        <f t="shared" si="4"/>
        <v>#DIV/0!</v>
      </c>
      <c r="U48" s="89"/>
    </row>
    <row r="49" spans="1:21" ht="13.2" hidden="1" customHeight="1">
      <c r="A49" s="226">
        <v>41</v>
      </c>
      <c r="B49" s="178"/>
      <c r="C49" s="112"/>
      <c r="D49" s="178"/>
      <c r="E49" s="112"/>
      <c r="F49" s="112"/>
      <c r="G49" s="171"/>
      <c r="H49" s="225"/>
      <c r="I49" s="302">
        <f>'summary sheet'!$E$2</f>
        <v>120</v>
      </c>
      <c r="J49" s="315">
        <f t="shared" si="18"/>
        <v>0</v>
      </c>
      <c r="K49" s="118">
        <v>0</v>
      </c>
      <c r="L49" s="118">
        <v>0</v>
      </c>
      <c r="M49" s="119">
        <v>0</v>
      </c>
      <c r="N49" s="54">
        <f t="shared" si="16"/>
        <v>0</v>
      </c>
      <c r="O49" s="55">
        <f t="shared" si="7"/>
        <v>0</v>
      </c>
      <c r="P49" s="55">
        <f t="shared" si="8"/>
        <v>0</v>
      </c>
      <c r="Q49" s="56">
        <f t="shared" si="17"/>
        <v>0</v>
      </c>
      <c r="R49" s="77">
        <f t="shared" si="11"/>
        <v>0</v>
      </c>
      <c r="S49" s="247" t="e">
        <f t="shared" si="9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2">
        <f>'summary sheet'!$E$2</f>
        <v>120</v>
      </c>
      <c r="J50" s="315">
        <f t="shared" si="18"/>
        <v>0</v>
      </c>
      <c r="K50" s="118">
        <v>0</v>
      </c>
      <c r="L50" s="118">
        <v>0</v>
      </c>
      <c r="M50" s="119">
        <v>0</v>
      </c>
      <c r="N50" s="54">
        <f t="shared" si="16"/>
        <v>0</v>
      </c>
      <c r="O50" s="55">
        <f t="shared" si="7"/>
        <v>0</v>
      </c>
      <c r="P50" s="55">
        <f t="shared" si="8"/>
        <v>0</v>
      </c>
      <c r="Q50" s="56">
        <f t="shared" si="17"/>
        <v>0</v>
      </c>
      <c r="R50" s="77">
        <f t="shared" si="11"/>
        <v>0</v>
      </c>
      <c r="S50" s="247" t="e">
        <f t="shared" si="9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2">
        <f>'summary sheet'!$E$2</f>
        <v>120</v>
      </c>
      <c r="J51" s="315">
        <f t="shared" si="18"/>
        <v>0</v>
      </c>
      <c r="K51" s="118">
        <v>0</v>
      </c>
      <c r="L51" s="118">
        <v>0</v>
      </c>
      <c r="M51" s="119">
        <v>0</v>
      </c>
      <c r="N51" s="54">
        <f t="shared" si="16"/>
        <v>0</v>
      </c>
      <c r="O51" s="55">
        <f t="shared" si="7"/>
        <v>0</v>
      </c>
      <c r="P51" s="55">
        <f t="shared" si="8"/>
        <v>0</v>
      </c>
      <c r="Q51" s="56">
        <f t="shared" si="17"/>
        <v>0</v>
      </c>
      <c r="R51" s="77">
        <f t="shared" si="11"/>
        <v>0</v>
      </c>
      <c r="S51" s="247" t="e">
        <f t="shared" si="9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2">
        <f>'summary sheet'!$E$2</f>
        <v>120</v>
      </c>
      <c r="J52" s="315">
        <f t="shared" si="18"/>
        <v>0</v>
      </c>
      <c r="K52" s="118">
        <v>0</v>
      </c>
      <c r="L52" s="118">
        <v>0</v>
      </c>
      <c r="M52" s="119">
        <v>0</v>
      </c>
      <c r="N52" s="54">
        <f t="shared" si="16"/>
        <v>0</v>
      </c>
      <c r="O52" s="55">
        <f t="shared" si="7"/>
        <v>0</v>
      </c>
      <c r="P52" s="55">
        <f t="shared" si="8"/>
        <v>0</v>
      </c>
      <c r="Q52" s="56">
        <f t="shared" si="17"/>
        <v>0</v>
      </c>
      <c r="R52" s="77">
        <f t="shared" si="11"/>
        <v>0</v>
      </c>
      <c r="S52" s="247" t="e">
        <f t="shared" si="9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2">
        <f>'summary sheet'!$E$2</f>
        <v>120</v>
      </c>
      <c r="J53" s="315">
        <f t="shared" si="18"/>
        <v>0</v>
      </c>
      <c r="K53" s="118">
        <v>0</v>
      </c>
      <c r="L53" s="118">
        <v>0</v>
      </c>
      <c r="M53" s="119">
        <v>0</v>
      </c>
      <c r="N53" s="54">
        <f t="shared" si="16"/>
        <v>0</v>
      </c>
      <c r="O53" s="55">
        <f t="shared" si="7"/>
        <v>0</v>
      </c>
      <c r="P53" s="55">
        <f t="shared" si="8"/>
        <v>0</v>
      </c>
      <c r="Q53" s="56">
        <f t="shared" si="17"/>
        <v>0</v>
      </c>
      <c r="R53" s="77">
        <f t="shared" si="11"/>
        <v>0</v>
      </c>
      <c r="S53" s="247" t="e">
        <f t="shared" si="9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2">
        <f>'summary sheet'!$E$2</f>
        <v>120</v>
      </c>
      <c r="J54" s="315">
        <f t="shared" si="18"/>
        <v>0</v>
      </c>
      <c r="K54" s="118">
        <v>0</v>
      </c>
      <c r="L54" s="118">
        <v>0</v>
      </c>
      <c r="M54" s="119">
        <v>0</v>
      </c>
      <c r="N54" s="54">
        <f t="shared" si="16"/>
        <v>0</v>
      </c>
      <c r="O54" s="55">
        <f t="shared" si="7"/>
        <v>0</v>
      </c>
      <c r="P54" s="55">
        <f t="shared" si="8"/>
        <v>0</v>
      </c>
      <c r="Q54" s="56">
        <f t="shared" si="17"/>
        <v>0</v>
      </c>
      <c r="R54" s="77">
        <f t="shared" si="11"/>
        <v>0</v>
      </c>
      <c r="S54" s="247" t="e">
        <f t="shared" si="9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2">
        <f>'summary sheet'!$E$2</f>
        <v>120</v>
      </c>
      <c r="J55" s="315">
        <f t="shared" si="18"/>
        <v>0</v>
      </c>
      <c r="K55" s="118">
        <v>0</v>
      </c>
      <c r="L55" s="118">
        <v>0</v>
      </c>
      <c r="M55" s="119">
        <v>0</v>
      </c>
      <c r="N55" s="54">
        <f t="shared" si="16"/>
        <v>0</v>
      </c>
      <c r="O55" s="55">
        <f t="shared" si="7"/>
        <v>0</v>
      </c>
      <c r="P55" s="55">
        <f t="shared" si="8"/>
        <v>0</v>
      </c>
      <c r="Q55" s="56">
        <f t="shared" si="17"/>
        <v>0</v>
      </c>
      <c r="R55" s="77">
        <f t="shared" si="11"/>
        <v>0</v>
      </c>
      <c r="S55" s="247" t="e">
        <f t="shared" si="9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89"/>
      <c r="F56" s="89"/>
      <c r="G56" s="171"/>
      <c r="H56" s="225"/>
      <c r="I56" s="301">
        <f>'summary sheet'!$E$2</f>
        <v>120</v>
      </c>
      <c r="J56" s="316">
        <f t="shared" si="5"/>
        <v>0</v>
      </c>
      <c r="K56" s="185">
        <v>0</v>
      </c>
      <c r="L56" s="185">
        <v>0</v>
      </c>
      <c r="M56" s="185">
        <v>0</v>
      </c>
      <c r="N56" s="54">
        <f t="shared" si="6"/>
        <v>0</v>
      </c>
      <c r="O56" s="55">
        <f t="shared" si="7"/>
        <v>0</v>
      </c>
      <c r="P56" s="55">
        <f t="shared" si="8"/>
        <v>0</v>
      </c>
      <c r="Q56" s="56">
        <f t="shared" si="10"/>
        <v>0</v>
      </c>
      <c r="R56" s="77">
        <f t="shared" si="11"/>
        <v>0</v>
      </c>
      <c r="S56" s="247" t="e">
        <f t="shared" si="9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89"/>
      <c r="F57" s="89"/>
      <c r="G57" s="171"/>
      <c r="H57" s="225"/>
      <c r="I57" s="301">
        <f>'summary sheet'!$E$2</f>
        <v>120</v>
      </c>
      <c r="J57" s="316">
        <f t="shared" si="5"/>
        <v>0</v>
      </c>
      <c r="K57" s="185">
        <v>0</v>
      </c>
      <c r="L57" s="185">
        <v>0</v>
      </c>
      <c r="M57" s="185">
        <v>0</v>
      </c>
      <c r="N57" s="54">
        <f t="shared" si="6"/>
        <v>0</v>
      </c>
      <c r="O57" s="55">
        <f t="shared" si="7"/>
        <v>0</v>
      </c>
      <c r="P57" s="55">
        <f t="shared" si="8"/>
        <v>0</v>
      </c>
      <c r="Q57" s="56">
        <f t="shared" si="10"/>
        <v>0</v>
      </c>
      <c r="R57" s="77">
        <f t="shared" si="11"/>
        <v>0</v>
      </c>
      <c r="S57" s="247" t="e">
        <f t="shared" si="9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89"/>
      <c r="F58" s="89"/>
      <c r="G58" s="171"/>
      <c r="H58" s="225"/>
      <c r="I58" s="301">
        <f>'summary sheet'!$E$2</f>
        <v>120</v>
      </c>
      <c r="J58" s="316">
        <f t="shared" si="5"/>
        <v>0</v>
      </c>
      <c r="K58" s="185">
        <v>0</v>
      </c>
      <c r="L58" s="185">
        <v>0</v>
      </c>
      <c r="M58" s="185">
        <v>0</v>
      </c>
      <c r="N58" s="54">
        <f t="shared" si="6"/>
        <v>0</v>
      </c>
      <c r="O58" s="55">
        <f t="shared" si="7"/>
        <v>0</v>
      </c>
      <c r="P58" s="55">
        <f t="shared" si="8"/>
        <v>0</v>
      </c>
      <c r="Q58" s="56">
        <f t="shared" si="10"/>
        <v>0</v>
      </c>
      <c r="R58" s="77">
        <f t="shared" si="11"/>
        <v>0</v>
      </c>
      <c r="S58" s="247" t="e">
        <f t="shared" si="9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39"/>
      <c r="J62" s="39"/>
      <c r="K62" s="39"/>
      <c r="L62" s="39"/>
      <c r="M62" s="39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39"/>
      <c r="J63" s="39"/>
      <c r="K63" s="39"/>
      <c r="L63" s="39"/>
      <c r="M63" s="39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39"/>
      <c r="J64" s="39"/>
      <c r="K64" s="39"/>
      <c r="L64" s="39"/>
      <c r="M64" s="39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19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39"/>
      <c r="J65" s="39"/>
      <c r="K65" s="39"/>
      <c r="L65" s="39"/>
      <c r="M65" s="39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39"/>
      <c r="J66" s="39"/>
      <c r="K66" s="39"/>
      <c r="L66" s="39"/>
      <c r="M66" s="39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0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0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0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V110"/>
  <sheetViews>
    <sheetView showGridLines="0" zoomScaleNormal="10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51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  <c r="H1" s="173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  <c r="H2" s="173"/>
    </row>
    <row r="3" spans="1:22" ht="14.4" customHeight="1">
      <c r="A3" s="110" t="str" cm="1">
        <f t="array" aca="1" ref="A3" ca="1">CONCATENATE("SCOPE: ",MID(CELL("filename",A1),FIND("]",CELL("filename",A1))+1,255))</f>
        <v>SCOPE: Wire Mesh Partitions</v>
      </c>
      <c r="B3" s="176"/>
      <c r="C3" s="110"/>
      <c r="D3" s="176"/>
      <c r="E3" s="110"/>
      <c r="F3" s="12"/>
      <c r="G3" s="173"/>
      <c r="H3" s="173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  <c r="H4" s="173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173"/>
      <c r="H5" s="173"/>
      <c r="R5" s="50"/>
      <c r="S5" s="50"/>
      <c r="T5" s="50"/>
    </row>
    <row r="6" spans="1:22">
      <c r="A6" s="6" t="s">
        <v>1</v>
      </c>
      <c r="B6" s="204"/>
      <c r="C6" s="189"/>
      <c r="D6" s="204"/>
      <c r="E6" s="22"/>
      <c r="F6" s="24"/>
      <c r="G6" s="198"/>
      <c r="H6" s="170"/>
      <c r="I6" s="297"/>
      <c r="J6" s="314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7" t="s">
        <v>50</v>
      </c>
      <c r="H7" s="167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5"/>
      <c r="H8" s="15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8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16">
        <f>SUM(I9*H9)*G9</f>
        <v>0</v>
      </c>
      <c r="K9" s="185">
        <v>0</v>
      </c>
      <c r="L9" s="185">
        <v>0</v>
      </c>
      <c r="M9" s="188">
        <v>0</v>
      </c>
      <c r="N9" s="54">
        <f>J9</f>
        <v>0</v>
      </c>
      <c r="O9" s="55">
        <f t="shared" ref="O9" si="0">SUM(G9)*K9</f>
        <v>0</v>
      </c>
      <c r="P9" s="55">
        <f t="shared" ref="P9" si="1">SUM(L9)</f>
        <v>0</v>
      </c>
      <c r="Q9" s="56">
        <f t="shared" ref="Q9:Q58" si="2">SUM(G9)*M9</f>
        <v>0</v>
      </c>
      <c r="R9" s="77">
        <f t="shared" ref="R9:R58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16">
        <f t="shared" ref="J10:J58" si="5">SUM(I10*H10)*G10</f>
        <v>0</v>
      </c>
      <c r="K10" s="185">
        <v>0</v>
      </c>
      <c r="L10" s="185">
        <v>0</v>
      </c>
      <c r="M10" s="188">
        <v>0</v>
      </c>
      <c r="N10" s="54">
        <f t="shared" ref="N10:N57" si="6">J10</f>
        <v>0</v>
      </c>
      <c r="O10" s="55">
        <f t="shared" ref="O10:O58" si="7">SUM(G10)*K10</f>
        <v>0</v>
      </c>
      <c r="P10" s="55">
        <f t="shared" ref="P10:P58" si="8">SUM(L10)</f>
        <v>0</v>
      </c>
      <c r="Q10" s="56">
        <f t="shared" si="2"/>
        <v>0</v>
      </c>
      <c r="R10" s="77">
        <f t="shared" si="3"/>
        <v>0</v>
      </c>
      <c r="S10" s="247" t="e">
        <f t="shared" ref="S10:S58" si="9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16">
        <f t="shared" si="5"/>
        <v>0</v>
      </c>
      <c r="K11" s="185">
        <v>0</v>
      </c>
      <c r="L11" s="185">
        <v>0</v>
      </c>
      <c r="M11" s="188">
        <v>0</v>
      </c>
      <c r="N11" s="54">
        <f t="shared" si="6"/>
        <v>0</v>
      </c>
      <c r="O11" s="55">
        <f t="shared" si="7"/>
        <v>0</v>
      </c>
      <c r="P11" s="55">
        <f t="shared" si="8"/>
        <v>0</v>
      </c>
      <c r="Q11" s="56">
        <f t="shared" si="2"/>
        <v>0</v>
      </c>
      <c r="R11" s="77">
        <f t="shared" si="3"/>
        <v>0</v>
      </c>
      <c r="S11" s="247" t="e">
        <f t="shared" si="9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1">
        <f>'summary sheet'!$E$2</f>
        <v>120</v>
      </c>
      <c r="J12" s="316">
        <f t="shared" si="5"/>
        <v>0</v>
      </c>
      <c r="K12" s="185">
        <v>0</v>
      </c>
      <c r="L12" s="185">
        <v>0</v>
      </c>
      <c r="M12" s="188">
        <v>0</v>
      </c>
      <c r="N12" s="54">
        <f t="shared" si="6"/>
        <v>0</v>
      </c>
      <c r="O12" s="55">
        <f t="shared" si="7"/>
        <v>0</v>
      </c>
      <c r="P12" s="55">
        <f t="shared" si="8"/>
        <v>0</v>
      </c>
      <c r="Q12" s="56">
        <f t="shared" si="2"/>
        <v>0</v>
      </c>
      <c r="R12" s="77">
        <f t="shared" si="3"/>
        <v>0</v>
      </c>
      <c r="S12" s="247" t="e">
        <f t="shared" si="9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1">
        <f>'summary sheet'!$E$2</f>
        <v>120</v>
      </c>
      <c r="J13" s="316">
        <f t="shared" si="5"/>
        <v>0</v>
      </c>
      <c r="K13" s="185">
        <v>0</v>
      </c>
      <c r="L13" s="185">
        <v>0</v>
      </c>
      <c r="M13" s="188">
        <v>0</v>
      </c>
      <c r="N13" s="54">
        <f t="shared" si="6"/>
        <v>0</v>
      </c>
      <c r="O13" s="55">
        <f t="shared" si="7"/>
        <v>0</v>
      </c>
      <c r="P13" s="55">
        <f t="shared" si="8"/>
        <v>0</v>
      </c>
      <c r="Q13" s="56">
        <f t="shared" si="2"/>
        <v>0</v>
      </c>
      <c r="R13" s="77">
        <f t="shared" si="3"/>
        <v>0</v>
      </c>
      <c r="S13" s="247" t="e">
        <f t="shared" si="9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1">
        <f>'summary sheet'!$E$2</f>
        <v>120</v>
      </c>
      <c r="J14" s="316">
        <f t="shared" si="5"/>
        <v>0</v>
      </c>
      <c r="K14" s="185">
        <v>0</v>
      </c>
      <c r="L14" s="185">
        <v>0</v>
      </c>
      <c r="M14" s="188">
        <v>0</v>
      </c>
      <c r="N14" s="54">
        <f t="shared" si="6"/>
        <v>0</v>
      </c>
      <c r="O14" s="55">
        <f t="shared" si="7"/>
        <v>0</v>
      </c>
      <c r="P14" s="55">
        <f t="shared" si="8"/>
        <v>0</v>
      </c>
      <c r="Q14" s="56">
        <f t="shared" si="2"/>
        <v>0</v>
      </c>
      <c r="R14" s="77">
        <f t="shared" si="3"/>
        <v>0</v>
      </c>
      <c r="S14" s="247" t="e">
        <f t="shared" si="9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1">
        <f>'summary sheet'!$E$2</f>
        <v>120</v>
      </c>
      <c r="J15" s="316">
        <f t="shared" si="5"/>
        <v>0</v>
      </c>
      <c r="K15" s="185">
        <v>0</v>
      </c>
      <c r="L15" s="185">
        <v>0</v>
      </c>
      <c r="M15" s="188">
        <v>0</v>
      </c>
      <c r="N15" s="54">
        <f t="shared" si="6"/>
        <v>0</v>
      </c>
      <c r="O15" s="55">
        <f t="shared" si="7"/>
        <v>0</v>
      </c>
      <c r="P15" s="55">
        <f t="shared" si="8"/>
        <v>0</v>
      </c>
      <c r="Q15" s="56">
        <f t="shared" si="2"/>
        <v>0</v>
      </c>
      <c r="R15" s="77">
        <f t="shared" si="3"/>
        <v>0</v>
      </c>
      <c r="S15" s="247" t="e">
        <f t="shared" si="9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1">
        <f>'summary sheet'!$E$2</f>
        <v>120</v>
      </c>
      <c r="J16" s="316">
        <f t="shared" si="5"/>
        <v>0</v>
      </c>
      <c r="K16" s="185">
        <v>0</v>
      </c>
      <c r="L16" s="185">
        <v>0</v>
      </c>
      <c r="M16" s="188">
        <v>0</v>
      </c>
      <c r="N16" s="54">
        <f t="shared" si="6"/>
        <v>0</v>
      </c>
      <c r="O16" s="55">
        <f t="shared" si="7"/>
        <v>0</v>
      </c>
      <c r="P16" s="55">
        <f t="shared" si="8"/>
        <v>0</v>
      </c>
      <c r="Q16" s="56">
        <f t="shared" si="2"/>
        <v>0</v>
      </c>
      <c r="R16" s="77">
        <f t="shared" si="3"/>
        <v>0</v>
      </c>
      <c r="S16" s="247" t="e">
        <f t="shared" si="9"/>
        <v>#DIV/0!</v>
      </c>
      <c r="T16" s="206" t="e">
        <f t="shared" si="4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1">
        <f>'summary sheet'!$E$2</f>
        <v>120</v>
      </c>
      <c r="J17" s="316">
        <f t="shared" si="5"/>
        <v>0</v>
      </c>
      <c r="K17" s="185">
        <v>0</v>
      </c>
      <c r="L17" s="185">
        <v>0</v>
      </c>
      <c r="M17" s="188">
        <v>0</v>
      </c>
      <c r="N17" s="54">
        <f t="shared" si="6"/>
        <v>0</v>
      </c>
      <c r="O17" s="55">
        <f t="shared" si="7"/>
        <v>0</v>
      </c>
      <c r="P17" s="55">
        <f t="shared" si="8"/>
        <v>0</v>
      </c>
      <c r="Q17" s="56">
        <f t="shared" si="2"/>
        <v>0</v>
      </c>
      <c r="R17" s="77">
        <f t="shared" si="3"/>
        <v>0</v>
      </c>
      <c r="S17" s="247" t="e">
        <f t="shared" si="9"/>
        <v>#DIV/0!</v>
      </c>
      <c r="T17" s="206" t="e">
        <f t="shared" si="4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1">
        <f>'summary sheet'!$E$2</f>
        <v>120</v>
      </c>
      <c r="J18" s="316">
        <f t="shared" si="5"/>
        <v>0</v>
      </c>
      <c r="K18" s="185">
        <v>0</v>
      </c>
      <c r="L18" s="185">
        <v>0</v>
      </c>
      <c r="M18" s="188">
        <v>0</v>
      </c>
      <c r="N18" s="54">
        <f t="shared" si="6"/>
        <v>0</v>
      </c>
      <c r="O18" s="55">
        <f t="shared" si="7"/>
        <v>0</v>
      </c>
      <c r="P18" s="55">
        <f t="shared" si="8"/>
        <v>0</v>
      </c>
      <c r="Q18" s="56">
        <f t="shared" si="2"/>
        <v>0</v>
      </c>
      <c r="R18" s="77">
        <f t="shared" si="3"/>
        <v>0</v>
      </c>
      <c r="S18" s="247" t="e">
        <f t="shared" si="9"/>
        <v>#DIV/0!</v>
      </c>
      <c r="T18" s="206" t="e">
        <f t="shared" si="4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2">
        <f>'summary sheet'!$E$2</f>
        <v>120</v>
      </c>
      <c r="J19" s="301">
        <f t="shared" si="5"/>
        <v>0</v>
      </c>
      <c r="K19" s="187">
        <v>0</v>
      </c>
      <c r="L19" s="187">
        <v>0</v>
      </c>
      <c r="M19" s="187">
        <v>0</v>
      </c>
      <c r="N19" s="54">
        <f t="shared" si="6"/>
        <v>0</v>
      </c>
      <c r="O19" s="55">
        <f t="shared" si="7"/>
        <v>0</v>
      </c>
      <c r="P19" s="55">
        <f t="shared" si="8"/>
        <v>0</v>
      </c>
      <c r="Q19" s="56">
        <f t="shared" ref="Q19:Q25" si="10">SUM(G19)*M19</f>
        <v>0</v>
      </c>
      <c r="R19" s="77">
        <f t="shared" si="3"/>
        <v>0</v>
      </c>
      <c r="S19" s="247" t="e">
        <f t="shared" si="9"/>
        <v>#DIV/0!</v>
      </c>
      <c r="T19" s="206" t="e">
        <f t="shared" si="4"/>
        <v>#DIV/0!</v>
      </c>
      <c r="U19" s="89"/>
    </row>
    <row r="20" spans="1:22">
      <c r="A20" s="226">
        <v>12</v>
      </c>
      <c r="B20" s="178"/>
      <c r="C20" s="112"/>
      <c r="D20" s="178"/>
      <c r="E20" s="112"/>
      <c r="F20" s="112"/>
      <c r="G20" s="171"/>
      <c r="H20" s="225"/>
      <c r="I20" s="302">
        <f>'summary sheet'!$E$2</f>
        <v>120</v>
      </c>
      <c r="J20" s="301">
        <f t="shared" si="5"/>
        <v>0</v>
      </c>
      <c r="K20" s="187">
        <v>0</v>
      </c>
      <c r="L20" s="187">
        <v>0</v>
      </c>
      <c r="M20" s="187">
        <v>0</v>
      </c>
      <c r="N20" s="54">
        <f t="shared" si="6"/>
        <v>0</v>
      </c>
      <c r="O20" s="55">
        <f t="shared" si="7"/>
        <v>0</v>
      </c>
      <c r="P20" s="55">
        <f t="shared" si="8"/>
        <v>0</v>
      </c>
      <c r="Q20" s="56">
        <f t="shared" si="10"/>
        <v>0</v>
      </c>
      <c r="R20" s="77">
        <f t="shared" si="3"/>
        <v>0</v>
      </c>
      <c r="S20" s="247" t="e">
        <f t="shared" si="9"/>
        <v>#DIV/0!</v>
      </c>
      <c r="T20" s="206" t="e">
        <f t="shared" si="4"/>
        <v>#DIV/0!</v>
      </c>
      <c r="U20" s="89"/>
    </row>
    <row r="21" spans="1:22">
      <c r="A21" s="226">
        <v>13</v>
      </c>
      <c r="B21" s="178"/>
      <c r="C21" s="112"/>
      <c r="D21" s="178"/>
      <c r="E21" s="112"/>
      <c r="F21" s="112"/>
      <c r="G21" s="171"/>
      <c r="H21" s="225"/>
      <c r="I21" s="302">
        <f>'summary sheet'!$E$2</f>
        <v>120</v>
      </c>
      <c r="J21" s="301">
        <f t="shared" si="5"/>
        <v>0</v>
      </c>
      <c r="K21" s="187">
        <v>0</v>
      </c>
      <c r="L21" s="187">
        <v>0</v>
      </c>
      <c r="M21" s="187">
        <v>0</v>
      </c>
      <c r="N21" s="54">
        <f t="shared" si="6"/>
        <v>0</v>
      </c>
      <c r="O21" s="55">
        <f t="shared" si="7"/>
        <v>0</v>
      </c>
      <c r="P21" s="55">
        <f t="shared" si="8"/>
        <v>0</v>
      </c>
      <c r="Q21" s="56">
        <f t="shared" si="10"/>
        <v>0</v>
      </c>
      <c r="R21" s="77">
        <f t="shared" si="3"/>
        <v>0</v>
      </c>
      <c r="S21" s="247" t="e">
        <f t="shared" si="9"/>
        <v>#DIV/0!</v>
      </c>
      <c r="T21" s="206" t="e">
        <f t="shared" si="4"/>
        <v>#DIV/0!</v>
      </c>
      <c r="U21" s="89"/>
    </row>
    <row r="22" spans="1:22">
      <c r="A22" s="226">
        <v>14</v>
      </c>
      <c r="B22" s="178"/>
      <c r="C22" s="112"/>
      <c r="D22" s="178"/>
      <c r="E22" s="112"/>
      <c r="F22" s="112"/>
      <c r="G22" s="171"/>
      <c r="H22" s="225"/>
      <c r="I22" s="302">
        <f>'summary sheet'!$E$2</f>
        <v>120</v>
      </c>
      <c r="J22" s="301">
        <f t="shared" si="5"/>
        <v>0</v>
      </c>
      <c r="K22" s="187">
        <v>0</v>
      </c>
      <c r="L22" s="187">
        <v>0</v>
      </c>
      <c r="M22" s="187">
        <v>0</v>
      </c>
      <c r="N22" s="54">
        <f t="shared" si="6"/>
        <v>0</v>
      </c>
      <c r="O22" s="55">
        <f t="shared" si="7"/>
        <v>0</v>
      </c>
      <c r="P22" s="55">
        <f t="shared" si="8"/>
        <v>0</v>
      </c>
      <c r="Q22" s="56">
        <f t="shared" si="10"/>
        <v>0</v>
      </c>
      <c r="R22" s="77">
        <f t="shared" si="3"/>
        <v>0</v>
      </c>
      <c r="S22" s="247" t="e">
        <f t="shared" si="9"/>
        <v>#DIV/0!</v>
      </c>
      <c r="T22" s="206" t="e">
        <f t="shared" si="4"/>
        <v>#DIV/0!</v>
      </c>
      <c r="U22" s="89"/>
    </row>
    <row r="23" spans="1:22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2">
        <f>'summary sheet'!$E$2</f>
        <v>120</v>
      </c>
      <c r="J23" s="301">
        <f t="shared" si="5"/>
        <v>0</v>
      </c>
      <c r="K23" s="187">
        <v>0</v>
      </c>
      <c r="L23" s="187">
        <v>0</v>
      </c>
      <c r="M23" s="187">
        <v>0</v>
      </c>
      <c r="N23" s="54">
        <f t="shared" si="6"/>
        <v>0</v>
      </c>
      <c r="O23" s="55">
        <f t="shared" si="7"/>
        <v>0</v>
      </c>
      <c r="P23" s="55">
        <f t="shared" si="8"/>
        <v>0</v>
      </c>
      <c r="Q23" s="56">
        <f t="shared" si="10"/>
        <v>0</v>
      </c>
      <c r="R23" s="77">
        <f t="shared" si="3"/>
        <v>0</v>
      </c>
      <c r="S23" s="247" t="e">
        <f t="shared" si="9"/>
        <v>#DIV/0!</v>
      </c>
      <c r="T23" s="206" t="e">
        <f t="shared" si="4"/>
        <v>#DIV/0!</v>
      </c>
      <c r="U23" s="89"/>
    </row>
    <row r="24" spans="1:22" hidden="1">
      <c r="A24" s="226">
        <v>16</v>
      </c>
      <c r="B24" s="178"/>
      <c r="C24" s="112"/>
      <c r="D24" s="178"/>
      <c r="E24" s="112"/>
      <c r="F24" s="112"/>
      <c r="G24" s="171"/>
      <c r="H24" s="225"/>
      <c r="I24" s="302">
        <f>'summary sheet'!$E$2</f>
        <v>120</v>
      </c>
      <c r="J24" s="301">
        <f t="shared" si="5"/>
        <v>0</v>
      </c>
      <c r="K24" s="187">
        <v>0</v>
      </c>
      <c r="L24" s="187">
        <v>0</v>
      </c>
      <c r="M24" s="187">
        <v>0</v>
      </c>
      <c r="N24" s="54">
        <f t="shared" si="6"/>
        <v>0</v>
      </c>
      <c r="O24" s="55">
        <f t="shared" si="7"/>
        <v>0</v>
      </c>
      <c r="P24" s="55">
        <f t="shared" si="8"/>
        <v>0</v>
      </c>
      <c r="Q24" s="56">
        <f t="shared" si="10"/>
        <v>0</v>
      </c>
      <c r="R24" s="77">
        <f t="shared" si="3"/>
        <v>0</v>
      </c>
      <c r="S24" s="247" t="e">
        <f t="shared" si="9"/>
        <v>#DIV/0!</v>
      </c>
      <c r="T24" s="206" t="e">
        <f t="shared" si="4"/>
        <v>#DIV/0!</v>
      </c>
      <c r="U24" s="89"/>
    </row>
    <row r="25" spans="1:22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2">
        <f>'summary sheet'!$E$2</f>
        <v>120</v>
      </c>
      <c r="J25" s="301">
        <f t="shared" si="5"/>
        <v>0</v>
      </c>
      <c r="K25" s="187">
        <v>0</v>
      </c>
      <c r="L25" s="187">
        <v>0</v>
      </c>
      <c r="M25" s="187">
        <v>0</v>
      </c>
      <c r="N25" s="54">
        <f t="shared" si="6"/>
        <v>0</v>
      </c>
      <c r="O25" s="55">
        <f t="shared" si="7"/>
        <v>0</v>
      </c>
      <c r="P25" s="55">
        <f t="shared" si="8"/>
        <v>0</v>
      </c>
      <c r="Q25" s="56">
        <f t="shared" si="10"/>
        <v>0</v>
      </c>
      <c r="R25" s="77">
        <f t="shared" si="3"/>
        <v>0</v>
      </c>
      <c r="S25" s="247" t="e">
        <f t="shared" si="9"/>
        <v>#DIV/0!</v>
      </c>
      <c r="T25" s="206" t="e">
        <f t="shared" si="4"/>
        <v>#DIV/0!</v>
      </c>
      <c r="U25" s="89"/>
    </row>
    <row r="26" spans="1:22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15">
        <f t="shared" ref="J26" si="11">SUM(H26*I26)*G26</f>
        <v>0</v>
      </c>
      <c r="K26" s="118">
        <v>0</v>
      </c>
      <c r="L26" s="118">
        <v>0</v>
      </c>
      <c r="M26" s="119">
        <v>0</v>
      </c>
      <c r="N26" s="54">
        <f t="shared" si="6"/>
        <v>0</v>
      </c>
      <c r="O26" s="55">
        <f t="shared" si="7"/>
        <v>0</v>
      </c>
      <c r="P26" s="55">
        <f t="shared" si="8"/>
        <v>0</v>
      </c>
      <c r="Q26" s="56">
        <f t="shared" ref="Q26" si="12">M26</f>
        <v>0</v>
      </c>
      <c r="R26" s="77">
        <f t="shared" si="3"/>
        <v>0</v>
      </c>
      <c r="S26" s="247" t="e">
        <f t="shared" si="9"/>
        <v>#DIV/0!</v>
      </c>
      <c r="T26" s="206" t="e">
        <f t="shared" si="4"/>
        <v>#DIV/0!</v>
      </c>
      <c r="U26" s="89"/>
    </row>
    <row r="27" spans="1:22" ht="12.75" hidden="1" customHeight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15">
        <f>SUM(H27*I27)*G27</f>
        <v>0</v>
      </c>
      <c r="K27" s="118">
        <v>0</v>
      </c>
      <c r="L27" s="118">
        <v>0</v>
      </c>
      <c r="M27" s="119">
        <v>0</v>
      </c>
      <c r="N27" s="54">
        <f>J27</f>
        <v>0</v>
      </c>
      <c r="O27" s="55">
        <f t="shared" si="7"/>
        <v>0</v>
      </c>
      <c r="P27" s="55">
        <f t="shared" si="8"/>
        <v>0</v>
      </c>
      <c r="Q27" s="56">
        <f>M27</f>
        <v>0</v>
      </c>
      <c r="R27" s="77">
        <f t="shared" si="3"/>
        <v>0</v>
      </c>
      <c r="S27" s="247" t="e">
        <f t="shared" si="9"/>
        <v>#DIV/0!</v>
      </c>
      <c r="T27" s="206" t="e">
        <f t="shared" si="4"/>
        <v>#DIV/0!</v>
      </c>
      <c r="U27" s="88"/>
      <c r="V27" s="51"/>
    </row>
    <row r="28" spans="1:22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15">
        <f>SUM(H28*I28)*G28</f>
        <v>0</v>
      </c>
      <c r="K28" s="118">
        <v>0</v>
      </c>
      <c r="L28" s="118">
        <v>0</v>
      </c>
      <c r="M28" s="119">
        <v>0</v>
      </c>
      <c r="N28" s="54">
        <f t="shared" ref="N28:N48" si="13">J28</f>
        <v>0</v>
      </c>
      <c r="O28" s="55">
        <f t="shared" si="7"/>
        <v>0</v>
      </c>
      <c r="P28" s="55">
        <f t="shared" si="8"/>
        <v>0</v>
      </c>
      <c r="Q28" s="56">
        <f t="shared" ref="Q28:Q48" si="14">M28</f>
        <v>0</v>
      </c>
      <c r="R28" s="77">
        <f t="shared" si="3"/>
        <v>0</v>
      </c>
      <c r="S28" s="247" t="e">
        <f t="shared" si="9"/>
        <v>#DIV/0!</v>
      </c>
      <c r="T28" s="206" t="e">
        <f t="shared" si="4"/>
        <v>#DIV/0!</v>
      </c>
      <c r="U28" s="89"/>
      <c r="V28" s="51"/>
    </row>
    <row r="29" spans="1:22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15">
        <f t="shared" ref="J29:J48" si="15">SUM(H29*I29)*G29</f>
        <v>0</v>
      </c>
      <c r="K29" s="118">
        <v>0</v>
      </c>
      <c r="L29" s="118">
        <v>0</v>
      </c>
      <c r="M29" s="119">
        <v>0</v>
      </c>
      <c r="N29" s="54">
        <f t="shared" si="13"/>
        <v>0</v>
      </c>
      <c r="O29" s="55">
        <f t="shared" si="7"/>
        <v>0</v>
      </c>
      <c r="P29" s="55">
        <f t="shared" si="8"/>
        <v>0</v>
      </c>
      <c r="Q29" s="56">
        <f t="shared" si="14"/>
        <v>0</v>
      </c>
      <c r="R29" s="77">
        <f t="shared" si="3"/>
        <v>0</v>
      </c>
      <c r="S29" s="247" t="e">
        <f t="shared" si="9"/>
        <v>#DIV/0!</v>
      </c>
      <c r="T29" s="206" t="e">
        <f t="shared" si="4"/>
        <v>#DIV/0!</v>
      </c>
      <c r="U29" s="89"/>
    </row>
    <row r="30" spans="1:22" ht="13.2" hidden="1" customHeight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15">
        <f t="shared" si="15"/>
        <v>0</v>
      </c>
      <c r="K30" s="118">
        <v>0</v>
      </c>
      <c r="L30" s="118">
        <v>0</v>
      </c>
      <c r="M30" s="119">
        <v>0</v>
      </c>
      <c r="N30" s="54">
        <f t="shared" si="13"/>
        <v>0</v>
      </c>
      <c r="O30" s="55">
        <f t="shared" si="7"/>
        <v>0</v>
      </c>
      <c r="P30" s="55">
        <f t="shared" si="8"/>
        <v>0</v>
      </c>
      <c r="Q30" s="56">
        <f t="shared" si="14"/>
        <v>0</v>
      </c>
      <c r="R30" s="77">
        <f t="shared" si="3"/>
        <v>0</v>
      </c>
      <c r="S30" s="247" t="e">
        <f t="shared" si="9"/>
        <v>#DIV/0!</v>
      </c>
      <c r="T30" s="206" t="e">
        <f t="shared" si="4"/>
        <v>#DIV/0!</v>
      </c>
      <c r="U30" s="89"/>
    </row>
    <row r="31" spans="1:22" ht="13.2" hidden="1" customHeight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15">
        <f t="shared" si="15"/>
        <v>0</v>
      </c>
      <c r="K31" s="118">
        <v>0</v>
      </c>
      <c r="L31" s="118">
        <v>0</v>
      </c>
      <c r="M31" s="119">
        <v>0</v>
      </c>
      <c r="N31" s="54">
        <f t="shared" si="13"/>
        <v>0</v>
      </c>
      <c r="O31" s="55">
        <f t="shared" si="7"/>
        <v>0</v>
      </c>
      <c r="P31" s="55">
        <f t="shared" si="8"/>
        <v>0</v>
      </c>
      <c r="Q31" s="56">
        <f t="shared" si="14"/>
        <v>0</v>
      </c>
      <c r="R31" s="77">
        <f t="shared" si="3"/>
        <v>0</v>
      </c>
      <c r="S31" s="247" t="e">
        <f t="shared" si="9"/>
        <v>#DIV/0!</v>
      </c>
      <c r="T31" s="206" t="e">
        <f t="shared" si="4"/>
        <v>#DIV/0!</v>
      </c>
      <c r="U31" s="89"/>
    </row>
    <row r="32" spans="1:22" ht="13.2" hidden="1" customHeight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15">
        <f t="shared" si="15"/>
        <v>0</v>
      </c>
      <c r="K32" s="118">
        <v>0</v>
      </c>
      <c r="L32" s="118">
        <v>0</v>
      </c>
      <c r="M32" s="119">
        <v>0</v>
      </c>
      <c r="N32" s="54">
        <f t="shared" si="13"/>
        <v>0</v>
      </c>
      <c r="O32" s="55">
        <f t="shared" si="7"/>
        <v>0</v>
      </c>
      <c r="P32" s="55">
        <f t="shared" si="8"/>
        <v>0</v>
      </c>
      <c r="Q32" s="56">
        <f t="shared" si="14"/>
        <v>0</v>
      </c>
      <c r="R32" s="77">
        <f t="shared" si="3"/>
        <v>0</v>
      </c>
      <c r="S32" s="247" t="e">
        <f t="shared" si="9"/>
        <v>#DIV/0!</v>
      </c>
      <c r="T32" s="206" t="e">
        <f t="shared" si="4"/>
        <v>#DIV/0!</v>
      </c>
      <c r="U32" s="89"/>
    </row>
    <row r="33" spans="1:21" ht="13.2" hidden="1" customHeight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si="15"/>
        <v>0</v>
      </c>
      <c r="K33" s="118">
        <v>0</v>
      </c>
      <c r="L33" s="118">
        <v>0</v>
      </c>
      <c r="M33" s="119">
        <v>0</v>
      </c>
      <c r="N33" s="54">
        <f t="shared" si="13"/>
        <v>0</v>
      </c>
      <c r="O33" s="55">
        <f t="shared" si="7"/>
        <v>0</v>
      </c>
      <c r="P33" s="55">
        <f t="shared" si="8"/>
        <v>0</v>
      </c>
      <c r="Q33" s="56">
        <f t="shared" si="14"/>
        <v>0</v>
      </c>
      <c r="R33" s="77">
        <f t="shared" si="3"/>
        <v>0</v>
      </c>
      <c r="S33" s="247" t="e">
        <f t="shared" si="9"/>
        <v>#DIV/0!</v>
      </c>
      <c r="T33" s="206" t="e">
        <f t="shared" si="4"/>
        <v>#DIV/0!</v>
      </c>
      <c r="U33" s="89"/>
    </row>
    <row r="34" spans="1:21" hidden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 t="shared" si="15"/>
        <v>0</v>
      </c>
      <c r="K34" s="118">
        <v>0</v>
      </c>
      <c r="L34" s="118">
        <v>0</v>
      </c>
      <c r="M34" s="119">
        <v>0</v>
      </c>
      <c r="N34" s="54">
        <f t="shared" si="13"/>
        <v>0</v>
      </c>
      <c r="O34" s="55">
        <f t="shared" si="7"/>
        <v>0</v>
      </c>
      <c r="P34" s="55">
        <f t="shared" si="8"/>
        <v>0</v>
      </c>
      <c r="Q34" s="56">
        <f t="shared" si="14"/>
        <v>0</v>
      </c>
      <c r="R34" s="77">
        <f t="shared" si="3"/>
        <v>0</v>
      </c>
      <c r="S34" s="247" t="e">
        <f t="shared" si="9"/>
        <v>#DIV/0!</v>
      </c>
      <c r="T34" s="206" t="e">
        <f t="shared" si="4"/>
        <v>#DIV/0!</v>
      </c>
      <c r="U34" s="89"/>
    </row>
    <row r="35" spans="1:21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 t="shared" si="15"/>
        <v>0</v>
      </c>
      <c r="K35" s="118">
        <v>0</v>
      </c>
      <c r="L35" s="118">
        <v>0</v>
      </c>
      <c r="M35" s="119">
        <v>0</v>
      </c>
      <c r="N35" s="54">
        <f t="shared" si="13"/>
        <v>0</v>
      </c>
      <c r="O35" s="55">
        <f t="shared" si="7"/>
        <v>0</v>
      </c>
      <c r="P35" s="55">
        <f t="shared" si="8"/>
        <v>0</v>
      </c>
      <c r="Q35" s="56">
        <f t="shared" si="14"/>
        <v>0</v>
      </c>
      <c r="R35" s="77">
        <f t="shared" si="3"/>
        <v>0</v>
      </c>
      <c r="S35" s="247" t="e">
        <f t="shared" si="9"/>
        <v>#DIV/0!</v>
      </c>
      <c r="T35" s="206" t="e">
        <f t="shared" si="4"/>
        <v>#DIV/0!</v>
      </c>
      <c r="U35" s="89"/>
    </row>
    <row r="36" spans="1:21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si="15"/>
        <v>0</v>
      </c>
      <c r="K36" s="118">
        <v>0</v>
      </c>
      <c r="L36" s="118">
        <v>0</v>
      </c>
      <c r="M36" s="119">
        <v>0</v>
      </c>
      <c r="N36" s="54">
        <f t="shared" si="13"/>
        <v>0</v>
      </c>
      <c r="O36" s="55">
        <f t="shared" si="7"/>
        <v>0</v>
      </c>
      <c r="P36" s="55">
        <f t="shared" si="8"/>
        <v>0</v>
      </c>
      <c r="Q36" s="56">
        <f t="shared" si="14"/>
        <v>0</v>
      </c>
      <c r="R36" s="77">
        <f t="shared" si="3"/>
        <v>0</v>
      </c>
      <c r="S36" s="247" t="e">
        <f t="shared" si="9"/>
        <v>#DIV/0!</v>
      </c>
      <c r="T36" s="206" t="e">
        <f t="shared" si="4"/>
        <v>#DIV/0!</v>
      </c>
      <c r="U36" s="89"/>
    </row>
    <row r="37" spans="1:21" hidden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5"/>
        <v>0</v>
      </c>
      <c r="K37" s="118">
        <v>0</v>
      </c>
      <c r="L37" s="118">
        <v>0</v>
      </c>
      <c r="M37" s="119">
        <v>0</v>
      </c>
      <c r="N37" s="54">
        <f t="shared" si="13"/>
        <v>0</v>
      </c>
      <c r="O37" s="55">
        <f t="shared" si="7"/>
        <v>0</v>
      </c>
      <c r="P37" s="55">
        <f t="shared" si="8"/>
        <v>0</v>
      </c>
      <c r="Q37" s="56">
        <f t="shared" si="14"/>
        <v>0</v>
      </c>
      <c r="R37" s="77">
        <f t="shared" si="3"/>
        <v>0</v>
      </c>
      <c r="S37" s="247" t="e">
        <f t="shared" si="9"/>
        <v>#DIV/0!</v>
      </c>
      <c r="T37" s="206" t="e">
        <f t="shared" si="4"/>
        <v>#DIV/0!</v>
      </c>
      <c r="U37" s="89"/>
    </row>
    <row r="38" spans="1:21" hidden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5"/>
        <v>0</v>
      </c>
      <c r="K38" s="118">
        <v>0</v>
      </c>
      <c r="L38" s="118">
        <v>0</v>
      </c>
      <c r="M38" s="119">
        <v>0</v>
      </c>
      <c r="N38" s="54">
        <f t="shared" si="13"/>
        <v>0</v>
      </c>
      <c r="O38" s="55">
        <f t="shared" si="7"/>
        <v>0</v>
      </c>
      <c r="P38" s="55">
        <f t="shared" si="8"/>
        <v>0</v>
      </c>
      <c r="Q38" s="56">
        <f t="shared" si="14"/>
        <v>0</v>
      </c>
      <c r="R38" s="77">
        <f t="shared" si="3"/>
        <v>0</v>
      </c>
      <c r="S38" s="247" t="e">
        <f t="shared" si="9"/>
        <v>#DIV/0!</v>
      </c>
      <c r="T38" s="206" t="e">
        <f t="shared" si="4"/>
        <v>#DIV/0!</v>
      </c>
      <c r="U38" s="89"/>
    </row>
    <row r="39" spans="1:21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5"/>
        <v>0</v>
      </c>
      <c r="K39" s="118">
        <v>0</v>
      </c>
      <c r="L39" s="118">
        <v>0</v>
      </c>
      <c r="M39" s="119">
        <v>0</v>
      </c>
      <c r="N39" s="54">
        <f t="shared" si="13"/>
        <v>0</v>
      </c>
      <c r="O39" s="55">
        <f t="shared" si="7"/>
        <v>0</v>
      </c>
      <c r="P39" s="55">
        <f t="shared" si="8"/>
        <v>0</v>
      </c>
      <c r="Q39" s="56">
        <f t="shared" si="14"/>
        <v>0</v>
      </c>
      <c r="R39" s="77">
        <f t="shared" si="3"/>
        <v>0</v>
      </c>
      <c r="S39" s="247" t="e">
        <f t="shared" si="9"/>
        <v>#DIV/0!</v>
      </c>
      <c r="T39" s="206" t="e">
        <f t="shared" si="4"/>
        <v>#DIV/0!</v>
      </c>
      <c r="U39" s="89"/>
    </row>
    <row r="40" spans="1:21" ht="13.2" hidden="1" customHeight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5"/>
        <v>0</v>
      </c>
      <c r="K40" s="118">
        <v>0</v>
      </c>
      <c r="L40" s="118">
        <v>0</v>
      </c>
      <c r="M40" s="119">
        <v>0</v>
      </c>
      <c r="N40" s="54">
        <f t="shared" si="13"/>
        <v>0</v>
      </c>
      <c r="O40" s="55">
        <f t="shared" si="7"/>
        <v>0</v>
      </c>
      <c r="P40" s="55">
        <f t="shared" si="8"/>
        <v>0</v>
      </c>
      <c r="Q40" s="56">
        <f t="shared" si="14"/>
        <v>0</v>
      </c>
      <c r="R40" s="77">
        <f t="shared" si="3"/>
        <v>0</v>
      </c>
      <c r="S40" s="247" t="e">
        <f t="shared" si="9"/>
        <v>#DIV/0!</v>
      </c>
      <c r="T40" s="206" t="e">
        <f t="shared" si="4"/>
        <v>#DIV/0!</v>
      </c>
      <c r="U40" s="89"/>
    </row>
    <row r="41" spans="1:21" ht="13.2" hidden="1" customHeight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5"/>
        <v>0</v>
      </c>
      <c r="K41" s="118">
        <v>0</v>
      </c>
      <c r="L41" s="118">
        <v>0</v>
      </c>
      <c r="M41" s="119">
        <v>0</v>
      </c>
      <c r="N41" s="54">
        <f t="shared" si="13"/>
        <v>0</v>
      </c>
      <c r="O41" s="55">
        <f t="shared" si="7"/>
        <v>0</v>
      </c>
      <c r="P41" s="55">
        <f t="shared" si="8"/>
        <v>0</v>
      </c>
      <c r="Q41" s="56">
        <f t="shared" si="14"/>
        <v>0</v>
      </c>
      <c r="R41" s="77">
        <f t="shared" si="3"/>
        <v>0</v>
      </c>
      <c r="S41" s="247" t="e">
        <f t="shared" si="9"/>
        <v>#DIV/0!</v>
      </c>
      <c r="T41" s="206" t="e">
        <f t="shared" si="4"/>
        <v>#DIV/0!</v>
      </c>
      <c r="U41" s="89"/>
    </row>
    <row r="42" spans="1:21" ht="13.2" hidden="1" customHeight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5"/>
        <v>0</v>
      </c>
      <c r="K42" s="118">
        <v>0</v>
      </c>
      <c r="L42" s="118">
        <v>0</v>
      </c>
      <c r="M42" s="119">
        <v>0</v>
      </c>
      <c r="N42" s="54">
        <f t="shared" si="13"/>
        <v>0</v>
      </c>
      <c r="O42" s="55">
        <f t="shared" si="7"/>
        <v>0</v>
      </c>
      <c r="P42" s="55">
        <f t="shared" si="8"/>
        <v>0</v>
      </c>
      <c r="Q42" s="56">
        <f t="shared" si="14"/>
        <v>0</v>
      </c>
      <c r="R42" s="77">
        <f t="shared" si="3"/>
        <v>0</v>
      </c>
      <c r="S42" s="247" t="e">
        <f t="shared" si="9"/>
        <v>#DIV/0!</v>
      </c>
      <c r="T42" s="206" t="e">
        <f t="shared" si="4"/>
        <v>#DIV/0!</v>
      </c>
      <c r="U42" s="89"/>
    </row>
    <row r="43" spans="1:21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5"/>
        <v>0</v>
      </c>
      <c r="K43" s="118">
        <v>0</v>
      </c>
      <c r="L43" s="118">
        <v>0</v>
      </c>
      <c r="M43" s="119">
        <v>0</v>
      </c>
      <c r="N43" s="54">
        <f t="shared" si="13"/>
        <v>0</v>
      </c>
      <c r="O43" s="55">
        <f t="shared" si="7"/>
        <v>0</v>
      </c>
      <c r="P43" s="55">
        <f t="shared" si="8"/>
        <v>0</v>
      </c>
      <c r="Q43" s="56">
        <f t="shared" si="14"/>
        <v>0</v>
      </c>
      <c r="R43" s="77">
        <f t="shared" si="3"/>
        <v>0</v>
      </c>
      <c r="S43" s="247" t="e">
        <f t="shared" si="9"/>
        <v>#DIV/0!</v>
      </c>
      <c r="T43" s="206" t="e">
        <f t="shared" si="4"/>
        <v>#DIV/0!</v>
      </c>
      <c r="U43" s="89"/>
    </row>
    <row r="44" spans="1:21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5"/>
        <v>0</v>
      </c>
      <c r="K44" s="118">
        <v>0</v>
      </c>
      <c r="L44" s="118">
        <v>0</v>
      </c>
      <c r="M44" s="119">
        <v>0</v>
      </c>
      <c r="N44" s="54">
        <f t="shared" si="13"/>
        <v>0</v>
      </c>
      <c r="O44" s="55">
        <f t="shared" si="7"/>
        <v>0</v>
      </c>
      <c r="P44" s="55">
        <f t="shared" si="8"/>
        <v>0</v>
      </c>
      <c r="Q44" s="56">
        <f t="shared" si="14"/>
        <v>0</v>
      </c>
      <c r="R44" s="77">
        <f t="shared" si="3"/>
        <v>0</v>
      </c>
      <c r="S44" s="247" t="e">
        <f t="shared" si="9"/>
        <v>#DIV/0!</v>
      </c>
      <c r="T44" s="206" t="e">
        <f t="shared" si="4"/>
        <v>#DIV/0!</v>
      </c>
      <c r="U44" s="89"/>
    </row>
    <row r="45" spans="1:21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5"/>
        <v>0</v>
      </c>
      <c r="K45" s="118">
        <v>0</v>
      </c>
      <c r="L45" s="118">
        <v>0</v>
      </c>
      <c r="M45" s="119">
        <v>0</v>
      </c>
      <c r="N45" s="54">
        <f t="shared" si="13"/>
        <v>0</v>
      </c>
      <c r="O45" s="55">
        <f t="shared" si="7"/>
        <v>0</v>
      </c>
      <c r="P45" s="55">
        <f t="shared" si="8"/>
        <v>0</v>
      </c>
      <c r="Q45" s="56">
        <f t="shared" si="14"/>
        <v>0</v>
      </c>
      <c r="R45" s="77">
        <f t="shared" si="3"/>
        <v>0</v>
      </c>
      <c r="S45" s="247" t="e">
        <f t="shared" si="9"/>
        <v>#DIV/0!</v>
      </c>
      <c r="T45" s="206" t="e">
        <f t="shared" si="4"/>
        <v>#DIV/0!</v>
      </c>
      <c r="U45" s="89"/>
    </row>
    <row r="46" spans="1:21" hidden="1">
      <c r="A46" s="226">
        <v>38</v>
      </c>
      <c r="B46" s="178"/>
      <c r="C46" s="112"/>
      <c r="D46" s="178"/>
      <c r="E46" s="112"/>
      <c r="F46" s="112"/>
      <c r="G46" s="171"/>
      <c r="H46" s="225"/>
      <c r="I46" s="302">
        <f>'summary sheet'!$E$2</f>
        <v>120</v>
      </c>
      <c r="J46" s="315">
        <f t="shared" si="15"/>
        <v>0</v>
      </c>
      <c r="K46" s="118">
        <v>0</v>
      </c>
      <c r="L46" s="118">
        <v>0</v>
      </c>
      <c r="M46" s="119">
        <v>0</v>
      </c>
      <c r="N46" s="54">
        <f t="shared" si="13"/>
        <v>0</v>
      </c>
      <c r="O46" s="55">
        <f t="shared" si="7"/>
        <v>0</v>
      </c>
      <c r="P46" s="55">
        <f t="shared" si="8"/>
        <v>0</v>
      </c>
      <c r="Q46" s="56">
        <f t="shared" si="14"/>
        <v>0</v>
      </c>
      <c r="R46" s="77">
        <f t="shared" si="3"/>
        <v>0</v>
      </c>
      <c r="S46" s="247" t="e">
        <f t="shared" si="9"/>
        <v>#DIV/0!</v>
      </c>
      <c r="T46" s="206" t="e">
        <f t="shared" si="4"/>
        <v>#DIV/0!</v>
      </c>
      <c r="U46" s="89"/>
    </row>
    <row r="47" spans="1:21" hidden="1">
      <c r="A47" s="226">
        <v>39</v>
      </c>
      <c r="B47" s="178"/>
      <c r="C47" s="112"/>
      <c r="D47" s="178"/>
      <c r="E47" s="112"/>
      <c r="F47" s="112"/>
      <c r="G47" s="171"/>
      <c r="H47" s="225"/>
      <c r="I47" s="302">
        <f>'summary sheet'!$E$2</f>
        <v>120</v>
      </c>
      <c r="J47" s="315">
        <f t="shared" si="15"/>
        <v>0</v>
      </c>
      <c r="K47" s="118">
        <v>0</v>
      </c>
      <c r="L47" s="118">
        <v>0</v>
      </c>
      <c r="M47" s="119">
        <v>0</v>
      </c>
      <c r="N47" s="54">
        <f t="shared" si="13"/>
        <v>0</v>
      </c>
      <c r="O47" s="55">
        <f t="shared" si="7"/>
        <v>0</v>
      </c>
      <c r="P47" s="55">
        <f t="shared" si="8"/>
        <v>0</v>
      </c>
      <c r="Q47" s="56">
        <f t="shared" si="14"/>
        <v>0</v>
      </c>
      <c r="R47" s="77">
        <f t="shared" si="3"/>
        <v>0</v>
      </c>
      <c r="S47" s="247" t="e">
        <f t="shared" si="9"/>
        <v>#DIV/0!</v>
      </c>
      <c r="T47" s="206" t="e">
        <f t="shared" si="4"/>
        <v>#DIV/0!</v>
      </c>
      <c r="U47" s="89"/>
    </row>
    <row r="48" spans="1:21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2">
        <f>'summary sheet'!$E$2</f>
        <v>120</v>
      </c>
      <c r="J48" s="315">
        <f t="shared" si="15"/>
        <v>0</v>
      </c>
      <c r="K48" s="118">
        <v>0</v>
      </c>
      <c r="L48" s="118">
        <v>0</v>
      </c>
      <c r="M48" s="119">
        <v>0</v>
      </c>
      <c r="N48" s="54">
        <f t="shared" si="13"/>
        <v>0</v>
      </c>
      <c r="O48" s="55">
        <f t="shared" si="7"/>
        <v>0</v>
      </c>
      <c r="P48" s="55">
        <f t="shared" si="8"/>
        <v>0</v>
      </c>
      <c r="Q48" s="56">
        <f t="shared" si="14"/>
        <v>0</v>
      </c>
      <c r="R48" s="77">
        <f t="shared" si="3"/>
        <v>0</v>
      </c>
      <c r="S48" s="247" t="e">
        <f t="shared" si="9"/>
        <v>#DIV/0!</v>
      </c>
      <c r="T48" s="206" t="e">
        <f t="shared" si="4"/>
        <v>#DIV/0!</v>
      </c>
      <c r="U48" s="89"/>
    </row>
    <row r="49" spans="1:21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1">
        <f>'summary sheet'!$E$2</f>
        <v>120</v>
      </c>
      <c r="J49" s="316">
        <f t="shared" si="5"/>
        <v>0</v>
      </c>
      <c r="K49" s="185">
        <v>0</v>
      </c>
      <c r="L49" s="185">
        <v>0</v>
      </c>
      <c r="M49" s="188">
        <v>0</v>
      </c>
      <c r="N49" s="54">
        <f t="shared" si="6"/>
        <v>0</v>
      </c>
      <c r="O49" s="55">
        <f t="shared" si="7"/>
        <v>0</v>
      </c>
      <c r="P49" s="55">
        <f t="shared" si="8"/>
        <v>0</v>
      </c>
      <c r="Q49" s="56">
        <f t="shared" si="2"/>
        <v>0</v>
      </c>
      <c r="R49" s="77">
        <f t="shared" si="3"/>
        <v>0</v>
      </c>
      <c r="S49" s="247" t="e">
        <f t="shared" si="9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1">
        <f>'summary sheet'!$E$2</f>
        <v>120</v>
      </c>
      <c r="J50" s="316">
        <f t="shared" si="5"/>
        <v>0</v>
      </c>
      <c r="K50" s="185">
        <v>0</v>
      </c>
      <c r="L50" s="185">
        <v>0</v>
      </c>
      <c r="M50" s="188">
        <v>0</v>
      </c>
      <c r="N50" s="54">
        <f t="shared" si="6"/>
        <v>0</v>
      </c>
      <c r="O50" s="55">
        <f t="shared" si="7"/>
        <v>0</v>
      </c>
      <c r="P50" s="55">
        <f t="shared" si="8"/>
        <v>0</v>
      </c>
      <c r="Q50" s="56">
        <f t="shared" si="2"/>
        <v>0</v>
      </c>
      <c r="R50" s="77">
        <f t="shared" si="3"/>
        <v>0</v>
      </c>
      <c r="S50" s="247" t="e">
        <f t="shared" si="9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1">
        <f>'summary sheet'!$E$2</f>
        <v>120</v>
      </c>
      <c r="J51" s="316">
        <f t="shared" si="5"/>
        <v>0</v>
      </c>
      <c r="K51" s="185">
        <v>0</v>
      </c>
      <c r="L51" s="185">
        <v>0</v>
      </c>
      <c r="M51" s="188">
        <v>0</v>
      </c>
      <c r="N51" s="54">
        <f t="shared" si="6"/>
        <v>0</v>
      </c>
      <c r="O51" s="55">
        <f t="shared" si="7"/>
        <v>0</v>
      </c>
      <c r="P51" s="55">
        <f t="shared" si="8"/>
        <v>0</v>
      </c>
      <c r="Q51" s="56">
        <f t="shared" si="2"/>
        <v>0</v>
      </c>
      <c r="R51" s="77">
        <f t="shared" si="3"/>
        <v>0</v>
      </c>
      <c r="S51" s="247" t="e">
        <f t="shared" si="9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1">
        <f>'summary sheet'!$E$2</f>
        <v>120</v>
      </c>
      <c r="J52" s="316">
        <f t="shared" si="5"/>
        <v>0</v>
      </c>
      <c r="K52" s="185">
        <v>0</v>
      </c>
      <c r="L52" s="185">
        <v>0</v>
      </c>
      <c r="M52" s="188">
        <v>0</v>
      </c>
      <c r="N52" s="54">
        <f t="shared" si="6"/>
        <v>0</v>
      </c>
      <c r="O52" s="55">
        <f t="shared" si="7"/>
        <v>0</v>
      </c>
      <c r="P52" s="55">
        <f t="shared" si="8"/>
        <v>0</v>
      </c>
      <c r="Q52" s="56">
        <f t="shared" si="2"/>
        <v>0</v>
      </c>
      <c r="R52" s="77">
        <f t="shared" si="3"/>
        <v>0</v>
      </c>
      <c r="S52" s="247" t="e">
        <f t="shared" si="9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1">
        <f>'summary sheet'!$E$2</f>
        <v>120</v>
      </c>
      <c r="J53" s="316">
        <f t="shared" si="5"/>
        <v>0</v>
      </c>
      <c r="K53" s="185">
        <v>0</v>
      </c>
      <c r="L53" s="185">
        <v>0</v>
      </c>
      <c r="M53" s="188">
        <v>0</v>
      </c>
      <c r="N53" s="54">
        <f t="shared" si="6"/>
        <v>0</v>
      </c>
      <c r="O53" s="55">
        <f t="shared" si="7"/>
        <v>0</v>
      </c>
      <c r="P53" s="55">
        <f t="shared" si="8"/>
        <v>0</v>
      </c>
      <c r="Q53" s="56">
        <f t="shared" si="2"/>
        <v>0</v>
      </c>
      <c r="R53" s="77">
        <f t="shared" si="3"/>
        <v>0</v>
      </c>
      <c r="S53" s="247" t="e">
        <f t="shared" si="9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1">
        <f>'summary sheet'!$E$2</f>
        <v>120</v>
      </c>
      <c r="J54" s="316">
        <f t="shared" si="5"/>
        <v>0</v>
      </c>
      <c r="K54" s="185">
        <v>0</v>
      </c>
      <c r="L54" s="185">
        <v>0</v>
      </c>
      <c r="M54" s="188">
        <v>0</v>
      </c>
      <c r="N54" s="54">
        <f t="shared" si="6"/>
        <v>0</v>
      </c>
      <c r="O54" s="55">
        <f t="shared" si="7"/>
        <v>0</v>
      </c>
      <c r="P54" s="55">
        <f t="shared" si="8"/>
        <v>0</v>
      </c>
      <c r="Q54" s="56">
        <f t="shared" si="2"/>
        <v>0</v>
      </c>
      <c r="R54" s="77">
        <f t="shared" si="3"/>
        <v>0</v>
      </c>
      <c r="S54" s="247" t="e">
        <f t="shared" si="9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1">
        <f>'summary sheet'!$E$2</f>
        <v>120</v>
      </c>
      <c r="J55" s="316">
        <f t="shared" si="5"/>
        <v>0</v>
      </c>
      <c r="K55" s="185">
        <v>0</v>
      </c>
      <c r="L55" s="185">
        <v>0</v>
      </c>
      <c r="M55" s="188">
        <v>0</v>
      </c>
      <c r="N55" s="54">
        <f t="shared" si="6"/>
        <v>0</v>
      </c>
      <c r="O55" s="55">
        <f t="shared" si="7"/>
        <v>0</v>
      </c>
      <c r="P55" s="55">
        <f t="shared" si="8"/>
        <v>0</v>
      </c>
      <c r="Q55" s="56">
        <f t="shared" si="2"/>
        <v>0</v>
      </c>
      <c r="R55" s="77">
        <f t="shared" si="3"/>
        <v>0</v>
      </c>
      <c r="S55" s="247" t="e">
        <f t="shared" si="9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1">
        <f>'summary sheet'!$E$2</f>
        <v>120</v>
      </c>
      <c r="J56" s="316">
        <f t="shared" si="5"/>
        <v>0</v>
      </c>
      <c r="K56" s="185">
        <v>0</v>
      </c>
      <c r="L56" s="185">
        <v>0</v>
      </c>
      <c r="M56" s="188">
        <v>0</v>
      </c>
      <c r="N56" s="54">
        <f t="shared" si="6"/>
        <v>0</v>
      </c>
      <c r="O56" s="55">
        <f t="shared" si="7"/>
        <v>0</v>
      </c>
      <c r="P56" s="55">
        <f t="shared" si="8"/>
        <v>0</v>
      </c>
      <c r="Q56" s="56">
        <f t="shared" si="2"/>
        <v>0</v>
      </c>
      <c r="R56" s="77">
        <f t="shared" si="3"/>
        <v>0</v>
      </c>
      <c r="S56" s="247" t="e">
        <f t="shared" si="9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1">
        <f>'summary sheet'!$E$2</f>
        <v>120</v>
      </c>
      <c r="J57" s="316">
        <f t="shared" si="5"/>
        <v>0</v>
      </c>
      <c r="K57" s="185">
        <v>0</v>
      </c>
      <c r="L57" s="185">
        <v>0</v>
      </c>
      <c r="M57" s="188">
        <v>0</v>
      </c>
      <c r="N57" s="54">
        <f t="shared" si="6"/>
        <v>0</v>
      </c>
      <c r="O57" s="55">
        <f t="shared" si="7"/>
        <v>0</v>
      </c>
      <c r="P57" s="55">
        <f t="shared" si="8"/>
        <v>0</v>
      </c>
      <c r="Q57" s="56">
        <f t="shared" si="2"/>
        <v>0</v>
      </c>
      <c r="R57" s="77">
        <f t="shared" si="3"/>
        <v>0</v>
      </c>
      <c r="S57" s="247" t="e">
        <f t="shared" si="9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1">
        <f>'summary sheet'!$E$2</f>
        <v>120</v>
      </c>
      <c r="J58" s="316">
        <f t="shared" si="5"/>
        <v>0</v>
      </c>
      <c r="K58" s="185">
        <v>0</v>
      </c>
      <c r="L58" s="185">
        <v>0</v>
      </c>
      <c r="M58" s="188">
        <v>0</v>
      </c>
      <c r="N58" s="54">
        <f t="shared" ref="N58" si="16">J58</f>
        <v>0</v>
      </c>
      <c r="O58" s="55">
        <f t="shared" si="7"/>
        <v>0</v>
      </c>
      <c r="P58" s="55">
        <f t="shared" si="8"/>
        <v>0</v>
      </c>
      <c r="Q58" s="56">
        <f t="shared" si="2"/>
        <v>0</v>
      </c>
      <c r="R58" s="77">
        <f t="shared" si="3"/>
        <v>0</v>
      </c>
      <c r="S58" s="247" t="e">
        <f t="shared" si="9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197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197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197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17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197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197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18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18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18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I72" s="49"/>
      <c r="J72" s="49"/>
      <c r="K72" s="49"/>
      <c r="L72" s="49"/>
      <c r="M72" s="49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I73" s="49"/>
      <c r="J73" s="49"/>
      <c r="K73" s="49"/>
      <c r="L73" s="49"/>
      <c r="M73" s="49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I74" s="49"/>
      <c r="J74" s="49"/>
      <c r="K74" s="49"/>
      <c r="L74" s="49"/>
      <c r="M74" s="49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I75" s="49"/>
      <c r="J75" s="49"/>
      <c r="K75" s="49"/>
      <c r="L75" s="49"/>
      <c r="M75" s="49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I76" s="49"/>
      <c r="J76" s="49"/>
      <c r="K76" s="49"/>
      <c r="L76" s="49"/>
      <c r="M76" s="49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V110"/>
  <sheetViews>
    <sheetView showGridLines="0" zoomScaleNormal="10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51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  <c r="H1" s="173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  <c r="H2" s="173"/>
    </row>
    <row r="3" spans="1:22" ht="14.4" customHeight="1">
      <c r="A3" s="110" t="str" cm="1">
        <f t="array" aca="1" ref="A3" ca="1">CONCATENATE("SCOPE: ",MID(CELL("filename",A1),FIND("]",CELL("filename",A1))+1,255))</f>
        <v>SCOPE: Cubicle Curtains</v>
      </c>
      <c r="B3" s="176"/>
      <c r="C3" s="110"/>
      <c r="D3" s="176"/>
      <c r="E3" s="110"/>
      <c r="F3" s="12"/>
      <c r="G3" s="173"/>
      <c r="H3" s="173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  <c r="H4" s="173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173"/>
      <c r="H5" s="173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174"/>
      <c r="H6" s="200"/>
      <c r="I6" s="297"/>
      <c r="J6" s="314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4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8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01">
        <f>SUM(I9*H9)*G9</f>
        <v>0</v>
      </c>
      <c r="K9" s="187">
        <v>0</v>
      </c>
      <c r="L9" s="187">
        <v>0</v>
      </c>
      <c r="M9" s="187">
        <v>0</v>
      </c>
      <c r="N9" s="54">
        <f>J9</f>
        <v>0</v>
      </c>
      <c r="O9" s="55">
        <f t="shared" ref="O9" si="0">SUM(G9)*K9</f>
        <v>0</v>
      </c>
      <c r="P9" s="55">
        <f t="shared" ref="P9" si="1">SUM(L9)</f>
        <v>0</v>
      </c>
      <c r="Q9" s="56">
        <f t="shared" ref="Q9:Q10" si="2">SUM(G9)*M9</f>
        <v>0</v>
      </c>
      <c r="R9" s="77">
        <f t="shared" ref="R9:R10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01">
        <f t="shared" ref="J10:J58" si="5">SUM(I10*H10)*G10</f>
        <v>0</v>
      </c>
      <c r="K10" s="187">
        <v>0</v>
      </c>
      <c r="L10" s="187">
        <v>0</v>
      </c>
      <c r="M10" s="187">
        <v>0</v>
      </c>
      <c r="N10" s="54">
        <f t="shared" ref="N10:N58" si="6">J10</f>
        <v>0</v>
      </c>
      <c r="O10" s="55">
        <f t="shared" ref="O10:O58" si="7">SUM(G10)*K10</f>
        <v>0</v>
      </c>
      <c r="P10" s="55">
        <f t="shared" ref="P10:P58" si="8">SUM(L10)</f>
        <v>0</v>
      </c>
      <c r="Q10" s="56">
        <f t="shared" si="2"/>
        <v>0</v>
      </c>
      <c r="R10" s="77">
        <f t="shared" si="3"/>
        <v>0</v>
      </c>
      <c r="S10" s="247" t="e">
        <f t="shared" ref="S10:S58" si="9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01">
        <f t="shared" si="5"/>
        <v>0</v>
      </c>
      <c r="K11" s="187">
        <v>0</v>
      </c>
      <c r="L11" s="187">
        <v>0</v>
      </c>
      <c r="M11" s="187">
        <v>0</v>
      </c>
      <c r="N11" s="54">
        <f t="shared" si="6"/>
        <v>0</v>
      </c>
      <c r="O11" s="55">
        <f t="shared" si="7"/>
        <v>0</v>
      </c>
      <c r="P11" s="55">
        <f t="shared" si="8"/>
        <v>0</v>
      </c>
      <c r="Q11" s="56">
        <f>SUM(G11)*M11</f>
        <v>0</v>
      </c>
      <c r="R11" s="77">
        <f>SUM(N11:Q11)</f>
        <v>0</v>
      </c>
      <c r="S11" s="247" t="e">
        <f t="shared" si="9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1">
        <f>'summary sheet'!$E$2</f>
        <v>120</v>
      </c>
      <c r="J12" s="301">
        <f t="shared" si="5"/>
        <v>0</v>
      </c>
      <c r="K12" s="187">
        <v>0</v>
      </c>
      <c r="L12" s="187">
        <v>0</v>
      </c>
      <c r="M12" s="187">
        <v>0</v>
      </c>
      <c r="N12" s="54">
        <f t="shared" si="6"/>
        <v>0</v>
      </c>
      <c r="O12" s="55">
        <f t="shared" si="7"/>
        <v>0</v>
      </c>
      <c r="P12" s="55">
        <f t="shared" si="8"/>
        <v>0</v>
      </c>
      <c r="Q12" s="56">
        <f t="shared" ref="Q12:Q58" si="10">SUM(G12)*M12</f>
        <v>0</v>
      </c>
      <c r="R12" s="77">
        <f t="shared" ref="R12:R58" si="11">SUM(N12:Q12)</f>
        <v>0</v>
      </c>
      <c r="S12" s="247" t="e">
        <f t="shared" si="9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1">
        <f>'summary sheet'!$E$2</f>
        <v>120</v>
      </c>
      <c r="J13" s="301">
        <f t="shared" si="5"/>
        <v>0</v>
      </c>
      <c r="K13" s="187">
        <v>0</v>
      </c>
      <c r="L13" s="187">
        <v>0</v>
      </c>
      <c r="M13" s="187">
        <v>0</v>
      </c>
      <c r="N13" s="54">
        <f t="shared" si="6"/>
        <v>0</v>
      </c>
      <c r="O13" s="55">
        <f t="shared" si="7"/>
        <v>0</v>
      </c>
      <c r="P13" s="55">
        <f t="shared" si="8"/>
        <v>0</v>
      </c>
      <c r="Q13" s="56">
        <f t="shared" si="10"/>
        <v>0</v>
      </c>
      <c r="R13" s="77">
        <f t="shared" si="11"/>
        <v>0</v>
      </c>
      <c r="S13" s="247" t="e">
        <f t="shared" si="9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1">
        <f>'summary sheet'!$E$2</f>
        <v>120</v>
      </c>
      <c r="J14" s="301">
        <f t="shared" si="5"/>
        <v>0</v>
      </c>
      <c r="K14" s="187">
        <v>0</v>
      </c>
      <c r="L14" s="187">
        <v>0</v>
      </c>
      <c r="M14" s="187">
        <v>0</v>
      </c>
      <c r="N14" s="54">
        <f t="shared" si="6"/>
        <v>0</v>
      </c>
      <c r="O14" s="55">
        <f t="shared" si="7"/>
        <v>0</v>
      </c>
      <c r="P14" s="55">
        <f t="shared" si="8"/>
        <v>0</v>
      </c>
      <c r="Q14" s="56">
        <f t="shared" si="10"/>
        <v>0</v>
      </c>
      <c r="R14" s="77">
        <f t="shared" si="11"/>
        <v>0</v>
      </c>
      <c r="S14" s="247" t="e">
        <f t="shared" si="9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1">
        <f>'summary sheet'!$E$2</f>
        <v>120</v>
      </c>
      <c r="J15" s="301">
        <f t="shared" si="5"/>
        <v>0</v>
      </c>
      <c r="K15" s="187">
        <v>0</v>
      </c>
      <c r="L15" s="187">
        <v>0</v>
      </c>
      <c r="M15" s="187">
        <v>0</v>
      </c>
      <c r="N15" s="54">
        <f t="shared" si="6"/>
        <v>0</v>
      </c>
      <c r="O15" s="55">
        <f t="shared" si="7"/>
        <v>0</v>
      </c>
      <c r="P15" s="55">
        <f t="shared" si="8"/>
        <v>0</v>
      </c>
      <c r="Q15" s="56">
        <f t="shared" si="10"/>
        <v>0</v>
      </c>
      <c r="R15" s="77">
        <f t="shared" si="11"/>
        <v>0</v>
      </c>
      <c r="S15" s="247" t="e">
        <f t="shared" si="9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2">
        <f>'summary sheet'!$E$2</f>
        <v>120</v>
      </c>
      <c r="J16" s="301">
        <f t="shared" si="5"/>
        <v>0</v>
      </c>
      <c r="K16" s="187">
        <v>0</v>
      </c>
      <c r="L16" s="187">
        <v>0</v>
      </c>
      <c r="M16" s="187">
        <v>0</v>
      </c>
      <c r="N16" s="54">
        <f t="shared" si="6"/>
        <v>0</v>
      </c>
      <c r="O16" s="55">
        <f t="shared" si="7"/>
        <v>0</v>
      </c>
      <c r="P16" s="55">
        <f t="shared" si="8"/>
        <v>0</v>
      </c>
      <c r="Q16" s="56">
        <f t="shared" si="10"/>
        <v>0</v>
      </c>
      <c r="R16" s="77">
        <f t="shared" si="11"/>
        <v>0</v>
      </c>
      <c r="S16" s="247" t="e">
        <f t="shared" si="9"/>
        <v>#DIV/0!</v>
      </c>
      <c r="T16" s="206" t="e">
        <f t="shared" si="4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2">
        <f>'summary sheet'!$E$2</f>
        <v>120</v>
      </c>
      <c r="J17" s="301">
        <f t="shared" si="5"/>
        <v>0</v>
      </c>
      <c r="K17" s="187">
        <v>0</v>
      </c>
      <c r="L17" s="187">
        <v>0</v>
      </c>
      <c r="M17" s="187">
        <v>0</v>
      </c>
      <c r="N17" s="54">
        <f t="shared" si="6"/>
        <v>0</v>
      </c>
      <c r="O17" s="55">
        <f t="shared" si="7"/>
        <v>0</v>
      </c>
      <c r="P17" s="55">
        <f t="shared" si="8"/>
        <v>0</v>
      </c>
      <c r="Q17" s="56">
        <f t="shared" si="10"/>
        <v>0</v>
      </c>
      <c r="R17" s="77">
        <f t="shared" si="11"/>
        <v>0</v>
      </c>
      <c r="S17" s="247" t="e">
        <f t="shared" si="9"/>
        <v>#DIV/0!</v>
      </c>
      <c r="T17" s="206" t="e">
        <f t="shared" si="4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2">
        <f>'summary sheet'!$E$2</f>
        <v>120</v>
      </c>
      <c r="J18" s="301">
        <f t="shared" si="5"/>
        <v>0</v>
      </c>
      <c r="K18" s="187">
        <v>0</v>
      </c>
      <c r="L18" s="187">
        <v>0</v>
      </c>
      <c r="M18" s="187">
        <v>0</v>
      </c>
      <c r="N18" s="54">
        <f t="shared" si="6"/>
        <v>0</v>
      </c>
      <c r="O18" s="55">
        <f t="shared" si="7"/>
        <v>0</v>
      </c>
      <c r="P18" s="55">
        <f t="shared" si="8"/>
        <v>0</v>
      </c>
      <c r="Q18" s="56">
        <f t="shared" si="10"/>
        <v>0</v>
      </c>
      <c r="R18" s="77">
        <f t="shared" si="11"/>
        <v>0</v>
      </c>
      <c r="S18" s="247" t="e">
        <f t="shared" si="9"/>
        <v>#DIV/0!</v>
      </c>
      <c r="T18" s="206" t="e">
        <f t="shared" si="4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2">
        <f>'summary sheet'!$E$2</f>
        <v>120</v>
      </c>
      <c r="J19" s="301">
        <f t="shared" si="5"/>
        <v>0</v>
      </c>
      <c r="K19" s="187">
        <v>0</v>
      </c>
      <c r="L19" s="187">
        <v>0</v>
      </c>
      <c r="M19" s="187">
        <v>0</v>
      </c>
      <c r="N19" s="54">
        <f t="shared" si="6"/>
        <v>0</v>
      </c>
      <c r="O19" s="55">
        <f t="shared" si="7"/>
        <v>0</v>
      </c>
      <c r="P19" s="55">
        <f t="shared" si="8"/>
        <v>0</v>
      </c>
      <c r="Q19" s="56">
        <f t="shared" si="10"/>
        <v>0</v>
      </c>
      <c r="R19" s="77">
        <f t="shared" si="11"/>
        <v>0</v>
      </c>
      <c r="S19" s="247" t="e">
        <f t="shared" si="9"/>
        <v>#DIV/0!</v>
      </c>
      <c r="T19" s="206" t="e">
        <f t="shared" si="4"/>
        <v>#DIV/0!</v>
      </c>
      <c r="U19" s="89"/>
    </row>
    <row r="20" spans="1:22">
      <c r="A20" s="226">
        <v>12</v>
      </c>
      <c r="B20" s="178"/>
      <c r="C20" s="112"/>
      <c r="D20" s="178"/>
      <c r="E20" s="112"/>
      <c r="F20" s="112"/>
      <c r="G20" s="171"/>
      <c r="H20" s="225"/>
      <c r="I20" s="302">
        <f>'summary sheet'!$E$2</f>
        <v>120</v>
      </c>
      <c r="J20" s="301">
        <f t="shared" si="5"/>
        <v>0</v>
      </c>
      <c r="K20" s="187">
        <v>0</v>
      </c>
      <c r="L20" s="187">
        <v>0</v>
      </c>
      <c r="M20" s="187">
        <v>0</v>
      </c>
      <c r="N20" s="54">
        <f t="shared" si="6"/>
        <v>0</v>
      </c>
      <c r="O20" s="55">
        <f t="shared" si="7"/>
        <v>0</v>
      </c>
      <c r="P20" s="55">
        <f t="shared" si="8"/>
        <v>0</v>
      </c>
      <c r="Q20" s="56">
        <f t="shared" si="10"/>
        <v>0</v>
      </c>
      <c r="R20" s="77">
        <f t="shared" si="11"/>
        <v>0</v>
      </c>
      <c r="S20" s="247" t="e">
        <f t="shared" si="9"/>
        <v>#DIV/0!</v>
      </c>
      <c r="T20" s="206" t="e">
        <f t="shared" si="4"/>
        <v>#DIV/0!</v>
      </c>
      <c r="U20" s="89"/>
    </row>
    <row r="21" spans="1:22">
      <c r="A21" s="226">
        <v>13</v>
      </c>
      <c r="B21" s="178"/>
      <c r="C21" s="112"/>
      <c r="D21" s="178"/>
      <c r="E21" s="112"/>
      <c r="F21" s="112"/>
      <c r="G21" s="171"/>
      <c r="H21" s="225"/>
      <c r="I21" s="302">
        <f>'summary sheet'!$E$2</f>
        <v>120</v>
      </c>
      <c r="J21" s="301">
        <f t="shared" si="5"/>
        <v>0</v>
      </c>
      <c r="K21" s="187">
        <v>0</v>
      </c>
      <c r="L21" s="187">
        <v>0</v>
      </c>
      <c r="M21" s="187">
        <v>0</v>
      </c>
      <c r="N21" s="54">
        <f t="shared" si="6"/>
        <v>0</v>
      </c>
      <c r="O21" s="55">
        <f t="shared" si="7"/>
        <v>0</v>
      </c>
      <c r="P21" s="55">
        <f t="shared" si="8"/>
        <v>0</v>
      </c>
      <c r="Q21" s="56">
        <f t="shared" si="10"/>
        <v>0</v>
      </c>
      <c r="R21" s="77">
        <f t="shared" si="11"/>
        <v>0</v>
      </c>
      <c r="S21" s="247" t="e">
        <f t="shared" si="9"/>
        <v>#DIV/0!</v>
      </c>
      <c r="T21" s="206" t="e">
        <f t="shared" si="4"/>
        <v>#DIV/0!</v>
      </c>
      <c r="U21" s="89"/>
    </row>
    <row r="22" spans="1:22">
      <c r="A22" s="226">
        <v>14</v>
      </c>
      <c r="B22" s="178"/>
      <c r="C22" s="112"/>
      <c r="D22" s="178"/>
      <c r="E22" s="112"/>
      <c r="F22" s="112"/>
      <c r="G22" s="171"/>
      <c r="H22" s="225"/>
      <c r="I22" s="302">
        <f>'summary sheet'!$E$2</f>
        <v>120</v>
      </c>
      <c r="J22" s="301">
        <f t="shared" si="5"/>
        <v>0</v>
      </c>
      <c r="K22" s="187">
        <v>0</v>
      </c>
      <c r="L22" s="187">
        <v>0</v>
      </c>
      <c r="M22" s="187">
        <v>0</v>
      </c>
      <c r="N22" s="54">
        <f t="shared" si="6"/>
        <v>0</v>
      </c>
      <c r="O22" s="55">
        <f t="shared" si="7"/>
        <v>0</v>
      </c>
      <c r="P22" s="55">
        <f t="shared" si="8"/>
        <v>0</v>
      </c>
      <c r="Q22" s="56">
        <f t="shared" si="10"/>
        <v>0</v>
      </c>
      <c r="R22" s="77">
        <f t="shared" si="11"/>
        <v>0</v>
      </c>
      <c r="S22" s="247" t="e">
        <f t="shared" si="9"/>
        <v>#DIV/0!</v>
      </c>
      <c r="T22" s="206" t="e">
        <f t="shared" si="4"/>
        <v>#DIV/0!</v>
      </c>
      <c r="U22" s="89"/>
    </row>
    <row r="23" spans="1:22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2">
        <f>'summary sheet'!$E$2</f>
        <v>120</v>
      </c>
      <c r="J23" s="315">
        <f t="shared" ref="J23" si="12">SUM(H23*I23)*G23</f>
        <v>0</v>
      </c>
      <c r="K23" s="118">
        <v>0</v>
      </c>
      <c r="L23" s="118">
        <v>0</v>
      </c>
      <c r="M23" s="119">
        <v>0</v>
      </c>
      <c r="N23" s="54">
        <f t="shared" si="6"/>
        <v>0</v>
      </c>
      <c r="O23" s="55">
        <f t="shared" si="7"/>
        <v>0</v>
      </c>
      <c r="P23" s="55">
        <f t="shared" si="8"/>
        <v>0</v>
      </c>
      <c r="Q23" s="56">
        <f t="shared" ref="Q23" si="13">M23</f>
        <v>0</v>
      </c>
      <c r="R23" s="77">
        <f t="shared" si="11"/>
        <v>0</v>
      </c>
      <c r="S23" s="247" t="e">
        <f t="shared" si="9"/>
        <v>#DIV/0!</v>
      </c>
      <c r="T23" s="206" t="e">
        <f t="shared" si="4"/>
        <v>#DIV/0!</v>
      </c>
      <c r="U23" s="89"/>
    </row>
    <row r="24" spans="1:22" ht="12.75" hidden="1" customHeight="1">
      <c r="A24" s="226">
        <v>16</v>
      </c>
      <c r="B24" s="178"/>
      <c r="C24" s="112"/>
      <c r="D24" s="178"/>
      <c r="E24" s="112"/>
      <c r="F24" s="112"/>
      <c r="G24" s="171"/>
      <c r="H24" s="225"/>
      <c r="I24" s="302">
        <f>'summary sheet'!$E$2</f>
        <v>120</v>
      </c>
      <c r="J24" s="315">
        <f>SUM(H24*I24)*G24</f>
        <v>0</v>
      </c>
      <c r="K24" s="118">
        <v>0</v>
      </c>
      <c r="L24" s="118">
        <v>0</v>
      </c>
      <c r="M24" s="119">
        <v>0</v>
      </c>
      <c r="N24" s="54">
        <f>J24</f>
        <v>0</v>
      </c>
      <c r="O24" s="55">
        <f t="shared" si="7"/>
        <v>0</v>
      </c>
      <c r="P24" s="55">
        <f t="shared" si="8"/>
        <v>0</v>
      </c>
      <c r="Q24" s="56">
        <f>M24</f>
        <v>0</v>
      </c>
      <c r="R24" s="77">
        <f t="shared" si="11"/>
        <v>0</v>
      </c>
      <c r="S24" s="247" t="e">
        <f t="shared" si="9"/>
        <v>#DIV/0!</v>
      </c>
      <c r="T24" s="206" t="e">
        <f t="shared" si="4"/>
        <v>#DIV/0!</v>
      </c>
      <c r="U24" s="88"/>
      <c r="V24" s="51"/>
    </row>
    <row r="25" spans="1:22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2">
        <f>'summary sheet'!$E$2</f>
        <v>120</v>
      </c>
      <c r="J25" s="315">
        <f>SUM(H25*I25)*G25</f>
        <v>0</v>
      </c>
      <c r="K25" s="118">
        <v>0</v>
      </c>
      <c r="L25" s="118">
        <v>0</v>
      </c>
      <c r="M25" s="119">
        <v>0</v>
      </c>
      <c r="N25" s="54">
        <f t="shared" ref="N25:N45" si="14">J25</f>
        <v>0</v>
      </c>
      <c r="O25" s="55">
        <f t="shared" si="7"/>
        <v>0</v>
      </c>
      <c r="P25" s="55">
        <f t="shared" si="8"/>
        <v>0</v>
      </c>
      <c r="Q25" s="56">
        <f t="shared" ref="Q25:Q45" si="15">M25</f>
        <v>0</v>
      </c>
      <c r="R25" s="77">
        <f t="shared" si="11"/>
        <v>0</v>
      </c>
      <c r="S25" s="247" t="e">
        <f t="shared" si="9"/>
        <v>#DIV/0!</v>
      </c>
      <c r="T25" s="206" t="e">
        <f t="shared" si="4"/>
        <v>#DIV/0!</v>
      </c>
      <c r="U25" s="89"/>
      <c r="V25" s="51"/>
    </row>
    <row r="26" spans="1:22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15">
        <f t="shared" ref="J26:J45" si="16">SUM(H26*I26)*G26</f>
        <v>0</v>
      </c>
      <c r="K26" s="118">
        <v>0</v>
      </c>
      <c r="L26" s="118">
        <v>0</v>
      </c>
      <c r="M26" s="119">
        <v>0</v>
      </c>
      <c r="N26" s="54">
        <f t="shared" si="14"/>
        <v>0</v>
      </c>
      <c r="O26" s="55">
        <f t="shared" si="7"/>
        <v>0</v>
      </c>
      <c r="P26" s="55">
        <f t="shared" si="8"/>
        <v>0</v>
      </c>
      <c r="Q26" s="56">
        <f t="shared" si="15"/>
        <v>0</v>
      </c>
      <c r="R26" s="77">
        <f t="shared" si="11"/>
        <v>0</v>
      </c>
      <c r="S26" s="247" t="e">
        <f t="shared" si="9"/>
        <v>#DIV/0!</v>
      </c>
      <c r="T26" s="206" t="e">
        <f t="shared" si="4"/>
        <v>#DIV/0!</v>
      </c>
      <c r="U26" s="89"/>
    </row>
    <row r="27" spans="1:22" ht="13.2" hidden="1" customHeight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15">
        <f t="shared" si="16"/>
        <v>0</v>
      </c>
      <c r="K27" s="118">
        <v>0</v>
      </c>
      <c r="L27" s="118">
        <v>0</v>
      </c>
      <c r="M27" s="119">
        <v>0</v>
      </c>
      <c r="N27" s="54">
        <f t="shared" si="14"/>
        <v>0</v>
      </c>
      <c r="O27" s="55">
        <f t="shared" si="7"/>
        <v>0</v>
      </c>
      <c r="P27" s="55">
        <f t="shared" si="8"/>
        <v>0</v>
      </c>
      <c r="Q27" s="56">
        <f t="shared" si="15"/>
        <v>0</v>
      </c>
      <c r="R27" s="77">
        <f t="shared" si="11"/>
        <v>0</v>
      </c>
      <c r="S27" s="247" t="e">
        <f t="shared" si="9"/>
        <v>#DIV/0!</v>
      </c>
      <c r="T27" s="206" t="e">
        <f t="shared" si="4"/>
        <v>#DIV/0!</v>
      </c>
      <c r="U27" s="89"/>
    </row>
    <row r="28" spans="1:22" ht="13.2" hidden="1" customHeight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15">
        <f t="shared" si="16"/>
        <v>0</v>
      </c>
      <c r="K28" s="118">
        <v>0</v>
      </c>
      <c r="L28" s="118">
        <v>0</v>
      </c>
      <c r="M28" s="119">
        <v>0</v>
      </c>
      <c r="N28" s="54">
        <f t="shared" si="14"/>
        <v>0</v>
      </c>
      <c r="O28" s="55">
        <f t="shared" si="7"/>
        <v>0</v>
      </c>
      <c r="P28" s="55">
        <f t="shared" si="8"/>
        <v>0</v>
      </c>
      <c r="Q28" s="56">
        <f t="shared" si="15"/>
        <v>0</v>
      </c>
      <c r="R28" s="77">
        <f t="shared" si="11"/>
        <v>0</v>
      </c>
      <c r="S28" s="247" t="e">
        <f t="shared" si="9"/>
        <v>#DIV/0!</v>
      </c>
      <c r="T28" s="206" t="e">
        <f t="shared" si="4"/>
        <v>#DIV/0!</v>
      </c>
      <c r="U28" s="89"/>
    </row>
    <row r="29" spans="1:22" ht="13.2" hidden="1" customHeight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15">
        <f t="shared" si="16"/>
        <v>0</v>
      </c>
      <c r="K29" s="118">
        <v>0</v>
      </c>
      <c r="L29" s="118">
        <v>0</v>
      </c>
      <c r="M29" s="119">
        <v>0</v>
      </c>
      <c r="N29" s="54">
        <f t="shared" si="14"/>
        <v>0</v>
      </c>
      <c r="O29" s="55">
        <f t="shared" si="7"/>
        <v>0</v>
      </c>
      <c r="P29" s="55">
        <f t="shared" si="8"/>
        <v>0</v>
      </c>
      <c r="Q29" s="56">
        <f t="shared" si="15"/>
        <v>0</v>
      </c>
      <c r="R29" s="77">
        <f t="shared" si="11"/>
        <v>0</v>
      </c>
      <c r="S29" s="247" t="e">
        <f t="shared" si="9"/>
        <v>#DIV/0!</v>
      </c>
      <c r="T29" s="206" t="e">
        <f t="shared" si="4"/>
        <v>#DIV/0!</v>
      </c>
      <c r="U29" s="89"/>
    </row>
    <row r="30" spans="1:22" ht="13.2" hidden="1" customHeight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15">
        <f t="shared" si="16"/>
        <v>0</v>
      </c>
      <c r="K30" s="118">
        <v>0</v>
      </c>
      <c r="L30" s="118">
        <v>0</v>
      </c>
      <c r="M30" s="119">
        <v>0</v>
      </c>
      <c r="N30" s="54">
        <f t="shared" si="14"/>
        <v>0</v>
      </c>
      <c r="O30" s="55">
        <f t="shared" si="7"/>
        <v>0</v>
      </c>
      <c r="P30" s="55">
        <f t="shared" si="8"/>
        <v>0</v>
      </c>
      <c r="Q30" s="56">
        <f t="shared" si="15"/>
        <v>0</v>
      </c>
      <c r="R30" s="77">
        <f t="shared" si="11"/>
        <v>0</v>
      </c>
      <c r="S30" s="247" t="e">
        <f t="shared" si="9"/>
        <v>#DIV/0!</v>
      </c>
      <c r="T30" s="206" t="e">
        <f t="shared" si="4"/>
        <v>#DIV/0!</v>
      </c>
      <c r="U30" s="89"/>
    </row>
    <row r="31" spans="1:22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15">
        <f t="shared" si="16"/>
        <v>0</v>
      </c>
      <c r="K31" s="118">
        <v>0</v>
      </c>
      <c r="L31" s="118">
        <v>0</v>
      </c>
      <c r="M31" s="119">
        <v>0</v>
      </c>
      <c r="N31" s="54">
        <f t="shared" si="14"/>
        <v>0</v>
      </c>
      <c r="O31" s="55">
        <f t="shared" si="7"/>
        <v>0</v>
      </c>
      <c r="P31" s="55">
        <f t="shared" si="8"/>
        <v>0</v>
      </c>
      <c r="Q31" s="56">
        <f t="shared" si="15"/>
        <v>0</v>
      </c>
      <c r="R31" s="77">
        <f t="shared" si="11"/>
        <v>0</v>
      </c>
      <c r="S31" s="247" t="e">
        <f t="shared" si="9"/>
        <v>#DIV/0!</v>
      </c>
      <c r="T31" s="206" t="e">
        <f t="shared" si="4"/>
        <v>#DIV/0!</v>
      </c>
      <c r="U31" s="89"/>
    </row>
    <row r="32" spans="1:22" hidden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15">
        <f t="shared" si="16"/>
        <v>0</v>
      </c>
      <c r="K32" s="118">
        <v>0</v>
      </c>
      <c r="L32" s="118">
        <v>0</v>
      </c>
      <c r="M32" s="119">
        <v>0</v>
      </c>
      <c r="N32" s="54">
        <f t="shared" si="14"/>
        <v>0</v>
      </c>
      <c r="O32" s="55">
        <f t="shared" si="7"/>
        <v>0</v>
      </c>
      <c r="P32" s="55">
        <f t="shared" si="8"/>
        <v>0</v>
      </c>
      <c r="Q32" s="56">
        <f t="shared" si="15"/>
        <v>0</v>
      </c>
      <c r="R32" s="77">
        <f t="shared" si="11"/>
        <v>0</v>
      </c>
      <c r="S32" s="247" t="e">
        <f t="shared" si="9"/>
        <v>#DIV/0!</v>
      </c>
      <c r="T32" s="206" t="e">
        <f t="shared" si="4"/>
        <v>#DIV/0!</v>
      </c>
      <c r="U32" s="89"/>
    </row>
    <row r="33" spans="1:21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si="16"/>
        <v>0</v>
      </c>
      <c r="K33" s="118">
        <v>0</v>
      </c>
      <c r="L33" s="118">
        <v>0</v>
      </c>
      <c r="M33" s="119">
        <v>0</v>
      </c>
      <c r="N33" s="54">
        <f t="shared" si="14"/>
        <v>0</v>
      </c>
      <c r="O33" s="55">
        <f t="shared" si="7"/>
        <v>0</v>
      </c>
      <c r="P33" s="55">
        <f t="shared" si="8"/>
        <v>0</v>
      </c>
      <c r="Q33" s="56">
        <f t="shared" si="15"/>
        <v>0</v>
      </c>
      <c r="R33" s="77">
        <f t="shared" si="11"/>
        <v>0</v>
      </c>
      <c r="S33" s="247" t="e">
        <f t="shared" si="9"/>
        <v>#DIV/0!</v>
      </c>
      <c r="T33" s="206" t="e">
        <f t="shared" si="4"/>
        <v>#DIV/0!</v>
      </c>
      <c r="U33" s="89"/>
    </row>
    <row r="34" spans="1:21" hidden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 t="shared" si="16"/>
        <v>0</v>
      </c>
      <c r="K34" s="118">
        <v>0</v>
      </c>
      <c r="L34" s="118">
        <v>0</v>
      </c>
      <c r="M34" s="119">
        <v>0</v>
      </c>
      <c r="N34" s="54">
        <f t="shared" si="14"/>
        <v>0</v>
      </c>
      <c r="O34" s="55">
        <f t="shared" si="7"/>
        <v>0</v>
      </c>
      <c r="P34" s="55">
        <f t="shared" si="8"/>
        <v>0</v>
      </c>
      <c r="Q34" s="56">
        <f t="shared" si="15"/>
        <v>0</v>
      </c>
      <c r="R34" s="77">
        <f t="shared" si="11"/>
        <v>0</v>
      </c>
      <c r="S34" s="247" t="e">
        <f t="shared" si="9"/>
        <v>#DIV/0!</v>
      </c>
      <c r="T34" s="206" t="e">
        <f t="shared" si="4"/>
        <v>#DIV/0!</v>
      </c>
      <c r="U34" s="89"/>
    </row>
    <row r="35" spans="1:21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 t="shared" si="16"/>
        <v>0</v>
      </c>
      <c r="K35" s="118">
        <v>0</v>
      </c>
      <c r="L35" s="118">
        <v>0</v>
      </c>
      <c r="M35" s="119">
        <v>0</v>
      </c>
      <c r="N35" s="54">
        <f t="shared" si="14"/>
        <v>0</v>
      </c>
      <c r="O35" s="55">
        <f t="shared" si="7"/>
        <v>0</v>
      </c>
      <c r="P35" s="55">
        <f t="shared" si="8"/>
        <v>0</v>
      </c>
      <c r="Q35" s="56">
        <f t="shared" si="15"/>
        <v>0</v>
      </c>
      <c r="R35" s="77">
        <f t="shared" si="11"/>
        <v>0</v>
      </c>
      <c r="S35" s="247" t="e">
        <f t="shared" si="9"/>
        <v>#DIV/0!</v>
      </c>
      <c r="T35" s="206" t="e">
        <f t="shared" si="4"/>
        <v>#DIV/0!</v>
      </c>
      <c r="U35" s="89"/>
    </row>
    <row r="36" spans="1:21" ht="13.2" hidden="1" customHeight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si="16"/>
        <v>0</v>
      </c>
      <c r="K36" s="118">
        <v>0</v>
      </c>
      <c r="L36" s="118">
        <v>0</v>
      </c>
      <c r="M36" s="119">
        <v>0</v>
      </c>
      <c r="N36" s="54">
        <f t="shared" si="14"/>
        <v>0</v>
      </c>
      <c r="O36" s="55">
        <f t="shared" si="7"/>
        <v>0</v>
      </c>
      <c r="P36" s="55">
        <f t="shared" si="8"/>
        <v>0</v>
      </c>
      <c r="Q36" s="56">
        <f t="shared" si="15"/>
        <v>0</v>
      </c>
      <c r="R36" s="77">
        <f t="shared" si="11"/>
        <v>0</v>
      </c>
      <c r="S36" s="247" t="e">
        <f t="shared" si="9"/>
        <v>#DIV/0!</v>
      </c>
      <c r="T36" s="206" t="e">
        <f t="shared" si="4"/>
        <v>#DIV/0!</v>
      </c>
      <c r="U36" s="89"/>
    </row>
    <row r="37" spans="1:21" ht="13.2" hidden="1" customHeight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6"/>
        <v>0</v>
      </c>
      <c r="K37" s="118">
        <v>0</v>
      </c>
      <c r="L37" s="118">
        <v>0</v>
      </c>
      <c r="M37" s="119">
        <v>0</v>
      </c>
      <c r="N37" s="54">
        <f t="shared" si="14"/>
        <v>0</v>
      </c>
      <c r="O37" s="55">
        <f t="shared" si="7"/>
        <v>0</v>
      </c>
      <c r="P37" s="55">
        <f t="shared" si="8"/>
        <v>0</v>
      </c>
      <c r="Q37" s="56">
        <f t="shared" si="15"/>
        <v>0</v>
      </c>
      <c r="R37" s="77">
        <f t="shared" si="11"/>
        <v>0</v>
      </c>
      <c r="S37" s="247" t="e">
        <f t="shared" si="9"/>
        <v>#DIV/0!</v>
      </c>
      <c r="T37" s="206" t="e">
        <f t="shared" si="4"/>
        <v>#DIV/0!</v>
      </c>
      <c r="U37" s="89"/>
    </row>
    <row r="38" spans="1:21" ht="13.2" hidden="1" customHeight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6"/>
        <v>0</v>
      </c>
      <c r="K38" s="118">
        <v>0</v>
      </c>
      <c r="L38" s="118">
        <v>0</v>
      </c>
      <c r="M38" s="119">
        <v>0</v>
      </c>
      <c r="N38" s="54">
        <f t="shared" si="14"/>
        <v>0</v>
      </c>
      <c r="O38" s="55">
        <f t="shared" si="7"/>
        <v>0</v>
      </c>
      <c r="P38" s="55">
        <f t="shared" si="8"/>
        <v>0</v>
      </c>
      <c r="Q38" s="56">
        <f t="shared" si="15"/>
        <v>0</v>
      </c>
      <c r="R38" s="77">
        <f t="shared" si="11"/>
        <v>0</v>
      </c>
      <c r="S38" s="247" t="e">
        <f t="shared" si="9"/>
        <v>#DIV/0!</v>
      </c>
      <c r="T38" s="206" t="e">
        <f t="shared" si="4"/>
        <v>#DIV/0!</v>
      </c>
      <c r="U38" s="89"/>
    </row>
    <row r="39" spans="1:21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6"/>
        <v>0</v>
      </c>
      <c r="K39" s="118">
        <v>0</v>
      </c>
      <c r="L39" s="118">
        <v>0</v>
      </c>
      <c r="M39" s="119">
        <v>0</v>
      </c>
      <c r="N39" s="54">
        <f t="shared" si="14"/>
        <v>0</v>
      </c>
      <c r="O39" s="55">
        <f t="shared" si="7"/>
        <v>0</v>
      </c>
      <c r="P39" s="55">
        <f t="shared" si="8"/>
        <v>0</v>
      </c>
      <c r="Q39" s="56">
        <f t="shared" si="15"/>
        <v>0</v>
      </c>
      <c r="R39" s="77">
        <f t="shared" si="11"/>
        <v>0</v>
      </c>
      <c r="S39" s="247" t="e">
        <f t="shared" si="9"/>
        <v>#DIV/0!</v>
      </c>
      <c r="T39" s="206" t="e">
        <f t="shared" si="4"/>
        <v>#DIV/0!</v>
      </c>
      <c r="U39" s="89"/>
    </row>
    <row r="40" spans="1:21" hidden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6"/>
        <v>0</v>
      </c>
      <c r="K40" s="118">
        <v>0</v>
      </c>
      <c r="L40" s="118">
        <v>0</v>
      </c>
      <c r="M40" s="119">
        <v>0</v>
      </c>
      <c r="N40" s="54">
        <f t="shared" si="14"/>
        <v>0</v>
      </c>
      <c r="O40" s="55">
        <f t="shared" si="7"/>
        <v>0</v>
      </c>
      <c r="P40" s="55">
        <f t="shared" si="8"/>
        <v>0</v>
      </c>
      <c r="Q40" s="56">
        <f t="shared" si="15"/>
        <v>0</v>
      </c>
      <c r="R40" s="77">
        <f t="shared" si="11"/>
        <v>0</v>
      </c>
      <c r="S40" s="247" t="e">
        <f t="shared" si="9"/>
        <v>#DIV/0!</v>
      </c>
      <c r="T40" s="206" t="e">
        <f t="shared" si="4"/>
        <v>#DIV/0!</v>
      </c>
      <c r="U40" s="89"/>
    </row>
    <row r="41" spans="1:21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6"/>
        <v>0</v>
      </c>
      <c r="K41" s="118">
        <v>0</v>
      </c>
      <c r="L41" s="118">
        <v>0</v>
      </c>
      <c r="M41" s="119">
        <v>0</v>
      </c>
      <c r="N41" s="54">
        <f t="shared" si="14"/>
        <v>0</v>
      </c>
      <c r="O41" s="55">
        <f t="shared" si="7"/>
        <v>0</v>
      </c>
      <c r="P41" s="55">
        <f t="shared" si="8"/>
        <v>0</v>
      </c>
      <c r="Q41" s="56">
        <f t="shared" si="15"/>
        <v>0</v>
      </c>
      <c r="R41" s="77">
        <f t="shared" si="11"/>
        <v>0</v>
      </c>
      <c r="S41" s="247" t="e">
        <f t="shared" si="9"/>
        <v>#DIV/0!</v>
      </c>
      <c r="T41" s="206" t="e">
        <f t="shared" si="4"/>
        <v>#DIV/0!</v>
      </c>
      <c r="U41" s="89"/>
    </row>
    <row r="42" spans="1:21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6"/>
        <v>0</v>
      </c>
      <c r="K42" s="118">
        <v>0</v>
      </c>
      <c r="L42" s="118">
        <v>0</v>
      </c>
      <c r="M42" s="119">
        <v>0</v>
      </c>
      <c r="N42" s="54">
        <f t="shared" si="14"/>
        <v>0</v>
      </c>
      <c r="O42" s="55">
        <f t="shared" si="7"/>
        <v>0</v>
      </c>
      <c r="P42" s="55">
        <f t="shared" si="8"/>
        <v>0</v>
      </c>
      <c r="Q42" s="56">
        <f t="shared" si="15"/>
        <v>0</v>
      </c>
      <c r="R42" s="77">
        <f t="shared" si="11"/>
        <v>0</v>
      </c>
      <c r="S42" s="247" t="e">
        <f t="shared" si="9"/>
        <v>#DIV/0!</v>
      </c>
      <c r="T42" s="206" t="e">
        <f t="shared" si="4"/>
        <v>#DIV/0!</v>
      </c>
      <c r="U42" s="89"/>
    </row>
    <row r="43" spans="1:21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6"/>
        <v>0</v>
      </c>
      <c r="K43" s="118">
        <v>0</v>
      </c>
      <c r="L43" s="118">
        <v>0</v>
      </c>
      <c r="M43" s="119">
        <v>0</v>
      </c>
      <c r="N43" s="54">
        <f t="shared" si="14"/>
        <v>0</v>
      </c>
      <c r="O43" s="55">
        <f t="shared" si="7"/>
        <v>0</v>
      </c>
      <c r="P43" s="55">
        <f t="shared" si="8"/>
        <v>0</v>
      </c>
      <c r="Q43" s="56">
        <f t="shared" si="15"/>
        <v>0</v>
      </c>
      <c r="R43" s="77">
        <f t="shared" si="11"/>
        <v>0</v>
      </c>
      <c r="S43" s="247" t="e">
        <f t="shared" si="9"/>
        <v>#DIV/0!</v>
      </c>
      <c r="T43" s="206" t="e">
        <f t="shared" si="4"/>
        <v>#DIV/0!</v>
      </c>
      <c r="U43" s="89"/>
    </row>
    <row r="44" spans="1:21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6"/>
        <v>0</v>
      </c>
      <c r="K44" s="118">
        <v>0</v>
      </c>
      <c r="L44" s="118">
        <v>0</v>
      </c>
      <c r="M44" s="119">
        <v>0</v>
      </c>
      <c r="N44" s="54">
        <f t="shared" si="14"/>
        <v>0</v>
      </c>
      <c r="O44" s="55">
        <f t="shared" si="7"/>
        <v>0</v>
      </c>
      <c r="P44" s="55">
        <f t="shared" si="8"/>
        <v>0</v>
      </c>
      <c r="Q44" s="56">
        <f t="shared" si="15"/>
        <v>0</v>
      </c>
      <c r="R44" s="77">
        <f t="shared" si="11"/>
        <v>0</v>
      </c>
      <c r="S44" s="247" t="e">
        <f t="shared" si="9"/>
        <v>#DIV/0!</v>
      </c>
      <c r="T44" s="206" t="e">
        <f t="shared" si="4"/>
        <v>#DIV/0!</v>
      </c>
      <c r="U44" s="89"/>
    </row>
    <row r="45" spans="1:21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6"/>
        <v>0</v>
      </c>
      <c r="K45" s="118">
        <v>0</v>
      </c>
      <c r="L45" s="118">
        <v>0</v>
      </c>
      <c r="M45" s="119">
        <v>0</v>
      </c>
      <c r="N45" s="54">
        <f t="shared" si="14"/>
        <v>0</v>
      </c>
      <c r="O45" s="55">
        <f t="shared" si="7"/>
        <v>0</v>
      </c>
      <c r="P45" s="55">
        <f t="shared" si="8"/>
        <v>0</v>
      </c>
      <c r="Q45" s="56">
        <f t="shared" si="15"/>
        <v>0</v>
      </c>
      <c r="R45" s="77">
        <f t="shared" si="11"/>
        <v>0</v>
      </c>
      <c r="S45" s="247" t="e">
        <f t="shared" si="9"/>
        <v>#DIV/0!</v>
      </c>
      <c r="T45" s="206" t="e">
        <f t="shared" si="4"/>
        <v>#DIV/0!</v>
      </c>
      <c r="U45" s="89"/>
    </row>
    <row r="46" spans="1:21" hidden="1">
      <c r="A46" s="226">
        <v>38</v>
      </c>
      <c r="B46" s="178"/>
      <c r="C46" s="112"/>
      <c r="D46" s="178"/>
      <c r="E46" s="112"/>
      <c r="F46" s="112"/>
      <c r="G46" s="171"/>
      <c r="H46" s="225"/>
      <c r="I46" s="301">
        <f>'summary sheet'!$E$2</f>
        <v>120</v>
      </c>
      <c r="J46" s="301">
        <f t="shared" si="5"/>
        <v>0</v>
      </c>
      <c r="K46" s="187">
        <v>0</v>
      </c>
      <c r="L46" s="187">
        <v>0</v>
      </c>
      <c r="M46" s="187">
        <v>0</v>
      </c>
      <c r="N46" s="54">
        <f t="shared" si="6"/>
        <v>0</v>
      </c>
      <c r="O46" s="55">
        <f t="shared" si="7"/>
        <v>0</v>
      </c>
      <c r="P46" s="55">
        <f t="shared" si="8"/>
        <v>0</v>
      </c>
      <c r="Q46" s="56">
        <f t="shared" si="10"/>
        <v>0</v>
      </c>
      <c r="R46" s="77">
        <f t="shared" si="11"/>
        <v>0</v>
      </c>
      <c r="S46" s="247" t="e">
        <f t="shared" si="9"/>
        <v>#DIV/0!</v>
      </c>
      <c r="T46" s="206" t="e">
        <f t="shared" si="4"/>
        <v>#DIV/0!</v>
      </c>
      <c r="U46" s="89"/>
    </row>
    <row r="47" spans="1:21" hidden="1">
      <c r="A47" s="226">
        <v>39</v>
      </c>
      <c r="B47" s="178"/>
      <c r="C47" s="112"/>
      <c r="D47" s="178"/>
      <c r="E47" s="112"/>
      <c r="F47" s="112"/>
      <c r="G47" s="171"/>
      <c r="H47" s="225"/>
      <c r="I47" s="301">
        <f>'summary sheet'!$E$2</f>
        <v>120</v>
      </c>
      <c r="J47" s="301">
        <f t="shared" si="5"/>
        <v>0</v>
      </c>
      <c r="K47" s="187">
        <v>0</v>
      </c>
      <c r="L47" s="187">
        <v>0</v>
      </c>
      <c r="M47" s="187">
        <v>0</v>
      </c>
      <c r="N47" s="54">
        <f t="shared" si="6"/>
        <v>0</v>
      </c>
      <c r="O47" s="55">
        <f t="shared" si="7"/>
        <v>0</v>
      </c>
      <c r="P47" s="55">
        <f t="shared" si="8"/>
        <v>0</v>
      </c>
      <c r="Q47" s="56">
        <f t="shared" si="10"/>
        <v>0</v>
      </c>
      <c r="R47" s="77">
        <f t="shared" si="11"/>
        <v>0</v>
      </c>
      <c r="S47" s="247" t="e">
        <f t="shared" si="9"/>
        <v>#DIV/0!</v>
      </c>
      <c r="T47" s="206" t="e">
        <f t="shared" si="4"/>
        <v>#DIV/0!</v>
      </c>
      <c r="U47" s="89"/>
    </row>
    <row r="48" spans="1:21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1">
        <f>'summary sheet'!$E$2</f>
        <v>120</v>
      </c>
      <c r="J48" s="301">
        <f t="shared" si="5"/>
        <v>0</v>
      </c>
      <c r="K48" s="187">
        <v>0</v>
      </c>
      <c r="L48" s="187">
        <v>0</v>
      </c>
      <c r="M48" s="187">
        <v>0</v>
      </c>
      <c r="N48" s="54">
        <f t="shared" si="6"/>
        <v>0</v>
      </c>
      <c r="O48" s="55">
        <f t="shared" si="7"/>
        <v>0</v>
      </c>
      <c r="P48" s="55">
        <f t="shared" si="8"/>
        <v>0</v>
      </c>
      <c r="Q48" s="56">
        <f t="shared" si="10"/>
        <v>0</v>
      </c>
      <c r="R48" s="77">
        <f t="shared" si="11"/>
        <v>0</v>
      </c>
      <c r="S48" s="247" t="e">
        <f t="shared" si="9"/>
        <v>#DIV/0!</v>
      </c>
      <c r="T48" s="206" t="e">
        <f t="shared" si="4"/>
        <v>#DIV/0!</v>
      </c>
      <c r="U48" s="89"/>
    </row>
    <row r="49" spans="1:21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1">
        <f>'summary sheet'!$E$2</f>
        <v>120</v>
      </c>
      <c r="J49" s="301">
        <f t="shared" si="5"/>
        <v>0</v>
      </c>
      <c r="K49" s="187">
        <v>0</v>
      </c>
      <c r="L49" s="187">
        <v>0</v>
      </c>
      <c r="M49" s="187">
        <v>0</v>
      </c>
      <c r="N49" s="54">
        <f t="shared" si="6"/>
        <v>0</v>
      </c>
      <c r="O49" s="55">
        <f t="shared" si="7"/>
        <v>0</v>
      </c>
      <c r="P49" s="55">
        <f t="shared" si="8"/>
        <v>0</v>
      </c>
      <c r="Q49" s="56">
        <f t="shared" si="10"/>
        <v>0</v>
      </c>
      <c r="R49" s="77">
        <f t="shared" si="11"/>
        <v>0</v>
      </c>
      <c r="S49" s="247" t="e">
        <f t="shared" si="9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1">
        <f>'summary sheet'!$E$2</f>
        <v>120</v>
      </c>
      <c r="J50" s="301">
        <f t="shared" si="5"/>
        <v>0</v>
      </c>
      <c r="K50" s="187">
        <v>0</v>
      </c>
      <c r="L50" s="187">
        <v>0</v>
      </c>
      <c r="M50" s="187">
        <v>0</v>
      </c>
      <c r="N50" s="54">
        <f t="shared" si="6"/>
        <v>0</v>
      </c>
      <c r="O50" s="55">
        <f t="shared" si="7"/>
        <v>0</v>
      </c>
      <c r="P50" s="55">
        <f t="shared" si="8"/>
        <v>0</v>
      </c>
      <c r="Q50" s="56">
        <f t="shared" si="10"/>
        <v>0</v>
      </c>
      <c r="R50" s="77">
        <f t="shared" si="11"/>
        <v>0</v>
      </c>
      <c r="S50" s="247" t="e">
        <f t="shared" si="9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1">
        <f>'summary sheet'!$E$2</f>
        <v>120</v>
      </c>
      <c r="J51" s="301">
        <f t="shared" si="5"/>
        <v>0</v>
      </c>
      <c r="K51" s="187">
        <v>0</v>
      </c>
      <c r="L51" s="187">
        <v>0</v>
      </c>
      <c r="M51" s="187">
        <v>0</v>
      </c>
      <c r="N51" s="54">
        <f t="shared" si="6"/>
        <v>0</v>
      </c>
      <c r="O51" s="55">
        <f t="shared" si="7"/>
        <v>0</v>
      </c>
      <c r="P51" s="55">
        <f t="shared" si="8"/>
        <v>0</v>
      </c>
      <c r="Q51" s="56">
        <f t="shared" si="10"/>
        <v>0</v>
      </c>
      <c r="R51" s="77">
        <f t="shared" si="11"/>
        <v>0</v>
      </c>
      <c r="S51" s="247" t="e">
        <f t="shared" si="9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1">
        <f>'summary sheet'!$E$2</f>
        <v>120</v>
      </c>
      <c r="J52" s="301">
        <f t="shared" si="5"/>
        <v>0</v>
      </c>
      <c r="K52" s="187">
        <v>0</v>
      </c>
      <c r="L52" s="187">
        <v>0</v>
      </c>
      <c r="M52" s="187">
        <v>0</v>
      </c>
      <c r="N52" s="54">
        <f t="shared" si="6"/>
        <v>0</v>
      </c>
      <c r="O52" s="55">
        <f t="shared" si="7"/>
        <v>0</v>
      </c>
      <c r="P52" s="55">
        <f t="shared" si="8"/>
        <v>0</v>
      </c>
      <c r="Q52" s="56">
        <f t="shared" si="10"/>
        <v>0</v>
      </c>
      <c r="R52" s="77">
        <f t="shared" si="11"/>
        <v>0</v>
      </c>
      <c r="S52" s="247" t="e">
        <f t="shared" si="9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1">
        <f>'summary sheet'!$E$2</f>
        <v>120</v>
      </c>
      <c r="J53" s="301">
        <f t="shared" si="5"/>
        <v>0</v>
      </c>
      <c r="K53" s="187">
        <v>0</v>
      </c>
      <c r="L53" s="187">
        <v>0</v>
      </c>
      <c r="M53" s="187">
        <v>0</v>
      </c>
      <c r="N53" s="54">
        <f t="shared" si="6"/>
        <v>0</v>
      </c>
      <c r="O53" s="55">
        <f t="shared" si="7"/>
        <v>0</v>
      </c>
      <c r="P53" s="55">
        <f t="shared" si="8"/>
        <v>0</v>
      </c>
      <c r="Q53" s="56">
        <f t="shared" si="10"/>
        <v>0</v>
      </c>
      <c r="R53" s="77">
        <f t="shared" si="11"/>
        <v>0</v>
      </c>
      <c r="S53" s="247" t="e">
        <f t="shared" si="9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1">
        <f>'summary sheet'!$E$2</f>
        <v>120</v>
      </c>
      <c r="J54" s="301">
        <f t="shared" si="5"/>
        <v>0</v>
      </c>
      <c r="K54" s="187">
        <v>0</v>
      </c>
      <c r="L54" s="187">
        <v>0</v>
      </c>
      <c r="M54" s="187">
        <v>0</v>
      </c>
      <c r="N54" s="54">
        <f t="shared" si="6"/>
        <v>0</v>
      </c>
      <c r="O54" s="55">
        <f t="shared" si="7"/>
        <v>0</v>
      </c>
      <c r="P54" s="55">
        <f t="shared" si="8"/>
        <v>0</v>
      </c>
      <c r="Q54" s="56">
        <f t="shared" si="10"/>
        <v>0</v>
      </c>
      <c r="R54" s="77">
        <f t="shared" si="11"/>
        <v>0</v>
      </c>
      <c r="S54" s="247" t="e">
        <f t="shared" si="9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1">
        <f>'summary sheet'!$E$2</f>
        <v>120</v>
      </c>
      <c r="J55" s="301">
        <f t="shared" si="5"/>
        <v>0</v>
      </c>
      <c r="K55" s="187">
        <v>0</v>
      </c>
      <c r="L55" s="187">
        <v>0</v>
      </c>
      <c r="M55" s="187">
        <v>0</v>
      </c>
      <c r="N55" s="54">
        <f t="shared" si="6"/>
        <v>0</v>
      </c>
      <c r="O55" s="55">
        <f t="shared" si="7"/>
        <v>0</v>
      </c>
      <c r="P55" s="55">
        <f t="shared" si="8"/>
        <v>0</v>
      </c>
      <c r="Q55" s="56">
        <f t="shared" si="10"/>
        <v>0</v>
      </c>
      <c r="R55" s="77">
        <f t="shared" si="11"/>
        <v>0</v>
      </c>
      <c r="S55" s="247" t="e">
        <f t="shared" si="9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1">
        <f>'summary sheet'!$E$2</f>
        <v>120</v>
      </c>
      <c r="J56" s="301">
        <f t="shared" si="5"/>
        <v>0</v>
      </c>
      <c r="K56" s="187">
        <v>0</v>
      </c>
      <c r="L56" s="187">
        <v>0</v>
      </c>
      <c r="M56" s="187">
        <v>0</v>
      </c>
      <c r="N56" s="54">
        <f t="shared" si="6"/>
        <v>0</v>
      </c>
      <c r="O56" s="55">
        <f t="shared" si="7"/>
        <v>0</v>
      </c>
      <c r="P56" s="55">
        <f t="shared" si="8"/>
        <v>0</v>
      </c>
      <c r="Q56" s="56">
        <f t="shared" si="10"/>
        <v>0</v>
      </c>
      <c r="R56" s="77">
        <f t="shared" si="11"/>
        <v>0</v>
      </c>
      <c r="S56" s="247" t="e">
        <f t="shared" si="9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1">
        <f>'summary sheet'!$E$2</f>
        <v>120</v>
      </c>
      <c r="J57" s="301">
        <f t="shared" si="5"/>
        <v>0</v>
      </c>
      <c r="K57" s="187">
        <v>0</v>
      </c>
      <c r="L57" s="187">
        <v>0</v>
      </c>
      <c r="M57" s="187">
        <v>0</v>
      </c>
      <c r="N57" s="54">
        <f t="shared" si="6"/>
        <v>0</v>
      </c>
      <c r="O57" s="55">
        <f t="shared" si="7"/>
        <v>0</v>
      </c>
      <c r="P57" s="55">
        <f t="shared" si="8"/>
        <v>0</v>
      </c>
      <c r="Q57" s="56">
        <f t="shared" si="10"/>
        <v>0</v>
      </c>
      <c r="R57" s="77">
        <f t="shared" si="11"/>
        <v>0</v>
      </c>
      <c r="S57" s="247" t="e">
        <f t="shared" si="9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1">
        <f>'summary sheet'!$E$2</f>
        <v>120</v>
      </c>
      <c r="J58" s="301">
        <f t="shared" si="5"/>
        <v>0</v>
      </c>
      <c r="K58" s="187">
        <v>0</v>
      </c>
      <c r="L58" s="187">
        <v>0</v>
      </c>
      <c r="M58" s="187">
        <v>0</v>
      </c>
      <c r="N58" s="54">
        <f t="shared" si="6"/>
        <v>0</v>
      </c>
      <c r="O58" s="55">
        <f t="shared" si="7"/>
        <v>0</v>
      </c>
      <c r="P58" s="55">
        <f t="shared" si="8"/>
        <v>0</v>
      </c>
      <c r="Q58" s="56">
        <f t="shared" si="10"/>
        <v>0</v>
      </c>
      <c r="R58" s="77">
        <f t="shared" si="11"/>
        <v>0</v>
      </c>
      <c r="S58" s="247" t="e">
        <f t="shared" si="9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38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39" t="s">
        <v>22</v>
      </c>
      <c r="B60" s="331"/>
      <c r="C60" s="331"/>
      <c r="D60" s="331"/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197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197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197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17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197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197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18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18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18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4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203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10"/>
      <c r="E1" s="110"/>
      <c r="F1" s="12"/>
      <c r="G1" s="173"/>
      <c r="H1" s="173"/>
      <c r="I1" s="201"/>
    </row>
    <row r="2" spans="1:22" ht="14.4" customHeight="1">
      <c r="A2" s="110" t="str">
        <f>'summary sheet'!A2:A2</f>
        <v xml:space="preserve">SHIP TO:  </v>
      </c>
      <c r="B2" s="176"/>
      <c r="C2" s="110"/>
      <c r="D2" s="110"/>
      <c r="E2" s="110"/>
      <c r="F2" s="12"/>
      <c r="G2" s="173"/>
      <c r="H2" s="173"/>
      <c r="I2" s="201"/>
    </row>
    <row r="3" spans="1:22" ht="14.4" customHeight="1">
      <c r="A3" s="110" t="str" cm="1">
        <f t="array" aca="1" ref="A3" ca="1">CONCATENATE("SCOPE: ",MID(CELL("filename",A1),FIND("]",CELL("filename",A1))+1,255))</f>
        <v>SCOPE: Med Equipment</v>
      </c>
      <c r="B3" s="176"/>
      <c r="C3" s="110"/>
      <c r="D3" s="110"/>
      <c r="E3" s="110"/>
      <c r="F3" s="12"/>
      <c r="G3" s="173"/>
      <c r="H3" s="173"/>
      <c r="I3" s="201"/>
    </row>
    <row r="4" spans="1:22" ht="14.4" customHeight="1">
      <c r="A4" s="110" t="str">
        <f>'summary sheet'!A4</f>
        <v xml:space="preserve">BID INFO:  </v>
      </c>
      <c r="B4" s="176"/>
      <c r="C4" s="110"/>
      <c r="D4" s="110"/>
      <c r="E4" s="110"/>
      <c r="F4" s="12"/>
      <c r="G4" s="173"/>
      <c r="H4" s="173"/>
      <c r="I4" s="201"/>
    </row>
    <row r="5" spans="1:22" ht="14.4" customHeight="1">
      <c r="A5" s="333">
        <f ca="1">'summary sheet'!A5</f>
        <v>45940.587119212963</v>
      </c>
      <c r="B5" s="333"/>
      <c r="C5" s="3"/>
      <c r="D5" s="111"/>
      <c r="E5" s="111"/>
      <c r="F5" s="76"/>
      <c r="G5" s="173"/>
      <c r="H5" s="173"/>
      <c r="I5" s="201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174"/>
      <c r="H6" s="200"/>
      <c r="I6" s="297"/>
      <c r="J6" s="314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4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5" customHeight="1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01">
        <f>SUM(I9*H9)*G9</f>
        <v>0</v>
      </c>
      <c r="K9" s="187">
        <v>0</v>
      </c>
      <c r="L9" s="187">
        <v>0</v>
      </c>
      <c r="M9" s="187">
        <v>0</v>
      </c>
      <c r="N9" s="54">
        <f>J9</f>
        <v>0</v>
      </c>
      <c r="O9" s="55">
        <f>K9*G9</f>
        <v>0</v>
      </c>
      <c r="P9" s="55">
        <f t="shared" ref="P9" si="0">SUM(L9)</f>
        <v>0</v>
      </c>
      <c r="Q9" s="56">
        <f t="shared" ref="Q9:Q10" si="1">SUM(G9)*M9</f>
        <v>0</v>
      </c>
      <c r="R9" s="77">
        <f t="shared" ref="R9:R10" si="2">SUM(N9:Q9)</f>
        <v>0</v>
      </c>
      <c r="S9" s="247" t="e">
        <f>(R9/($R$61-$R$60))*SUM($R$64:$R$69,$R$71:$R$72,$R$74,$R$76,$R$78,$R$60)+R9</f>
        <v>#DIV/0!</v>
      </c>
      <c r="T9" s="206" t="e">
        <f t="shared" ref="T9:T58" si="3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01">
        <f t="shared" ref="J10:J58" si="4">SUM(I10*H10)*G10</f>
        <v>0</v>
      </c>
      <c r="K10" s="187">
        <v>0</v>
      </c>
      <c r="L10" s="187">
        <v>0</v>
      </c>
      <c r="M10" s="187">
        <v>0</v>
      </c>
      <c r="N10" s="54">
        <f t="shared" ref="N10:N58" si="5">J10</f>
        <v>0</v>
      </c>
      <c r="O10" s="55">
        <f t="shared" ref="O10:O58" si="6">K10*G10</f>
        <v>0</v>
      </c>
      <c r="P10" s="55">
        <f t="shared" ref="P10:P58" si="7">SUM(L10)</f>
        <v>0</v>
      </c>
      <c r="Q10" s="56">
        <f t="shared" si="1"/>
        <v>0</v>
      </c>
      <c r="R10" s="77">
        <f t="shared" si="2"/>
        <v>0</v>
      </c>
      <c r="S10" s="247" t="e">
        <f t="shared" ref="S10:S58" si="8">(R10/($R$61-$R$60))*SUM($R$64:$R$69,$R$71:$R$72,$R$74,$R$76,$R$78,$R$60)+R10</f>
        <v>#DIV/0!</v>
      </c>
      <c r="T10" s="206" t="e">
        <f t="shared" si="3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01">
        <f t="shared" si="4"/>
        <v>0</v>
      </c>
      <c r="K11" s="187">
        <v>0</v>
      </c>
      <c r="L11" s="187">
        <v>0</v>
      </c>
      <c r="M11" s="187">
        <v>0</v>
      </c>
      <c r="N11" s="54">
        <f t="shared" si="5"/>
        <v>0</v>
      </c>
      <c r="O11" s="55">
        <f t="shared" si="6"/>
        <v>0</v>
      </c>
      <c r="P11" s="55">
        <f t="shared" si="7"/>
        <v>0</v>
      </c>
      <c r="Q11" s="56">
        <f>SUM(G11)*M11</f>
        <v>0</v>
      </c>
      <c r="R11" s="77">
        <f>SUM(N11:Q11)</f>
        <v>0</v>
      </c>
      <c r="S11" s="247" t="e">
        <f t="shared" si="8"/>
        <v>#DIV/0!</v>
      </c>
      <c r="T11" s="206" t="e">
        <f t="shared" si="3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2">
        <f>'summary sheet'!$E$2</f>
        <v>120</v>
      </c>
      <c r="J12" s="301">
        <f t="shared" si="4"/>
        <v>0</v>
      </c>
      <c r="K12" s="187">
        <v>0</v>
      </c>
      <c r="L12" s="187">
        <v>0</v>
      </c>
      <c r="M12" s="187">
        <v>0</v>
      </c>
      <c r="N12" s="54">
        <f t="shared" si="5"/>
        <v>0</v>
      </c>
      <c r="O12" s="55">
        <f t="shared" ref="O12:O41" si="9">SUM(G12)*K12</f>
        <v>0</v>
      </c>
      <c r="P12" s="55">
        <f t="shared" ref="P12:P41" si="10">SUM(L12)</f>
        <v>0</v>
      </c>
      <c r="Q12" s="56">
        <f t="shared" ref="Q12:Q18" si="11">SUM(G12)*M12</f>
        <v>0</v>
      </c>
      <c r="R12" s="77">
        <f t="shared" ref="R12:R41" si="12">SUM(N12:Q12)</f>
        <v>0</v>
      </c>
      <c r="S12" s="247" t="e">
        <f t="shared" si="8"/>
        <v>#DIV/0!</v>
      </c>
      <c r="T12" s="206" t="e">
        <f t="shared" si="3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2">
        <f>'summary sheet'!$E$2</f>
        <v>120</v>
      </c>
      <c r="J13" s="301">
        <f t="shared" si="4"/>
        <v>0</v>
      </c>
      <c r="K13" s="187">
        <v>0</v>
      </c>
      <c r="L13" s="187">
        <v>0</v>
      </c>
      <c r="M13" s="187">
        <v>0</v>
      </c>
      <c r="N13" s="54">
        <f t="shared" si="5"/>
        <v>0</v>
      </c>
      <c r="O13" s="55">
        <f t="shared" si="9"/>
        <v>0</v>
      </c>
      <c r="P13" s="55">
        <f t="shared" si="10"/>
        <v>0</v>
      </c>
      <c r="Q13" s="56">
        <f t="shared" si="11"/>
        <v>0</v>
      </c>
      <c r="R13" s="77">
        <f t="shared" si="12"/>
        <v>0</v>
      </c>
      <c r="S13" s="247" t="e">
        <f t="shared" si="8"/>
        <v>#DIV/0!</v>
      </c>
      <c r="T13" s="206" t="e">
        <f t="shared" si="3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2">
        <f>'summary sheet'!$E$2</f>
        <v>120</v>
      </c>
      <c r="J14" s="301">
        <f t="shared" si="4"/>
        <v>0</v>
      </c>
      <c r="K14" s="187">
        <v>0</v>
      </c>
      <c r="L14" s="187">
        <v>0</v>
      </c>
      <c r="M14" s="187">
        <v>0</v>
      </c>
      <c r="N14" s="54">
        <f t="shared" si="5"/>
        <v>0</v>
      </c>
      <c r="O14" s="55">
        <f t="shared" si="9"/>
        <v>0</v>
      </c>
      <c r="P14" s="55">
        <f t="shared" si="10"/>
        <v>0</v>
      </c>
      <c r="Q14" s="56">
        <f t="shared" si="11"/>
        <v>0</v>
      </c>
      <c r="R14" s="77">
        <f t="shared" si="12"/>
        <v>0</v>
      </c>
      <c r="S14" s="247" t="e">
        <f t="shared" si="8"/>
        <v>#DIV/0!</v>
      </c>
      <c r="T14" s="206" t="e">
        <f t="shared" si="3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2">
        <f>'summary sheet'!$E$2</f>
        <v>120</v>
      </c>
      <c r="J15" s="301">
        <f t="shared" si="4"/>
        <v>0</v>
      </c>
      <c r="K15" s="187">
        <v>0</v>
      </c>
      <c r="L15" s="187">
        <v>0</v>
      </c>
      <c r="M15" s="187">
        <v>0</v>
      </c>
      <c r="N15" s="54">
        <f t="shared" si="5"/>
        <v>0</v>
      </c>
      <c r="O15" s="55">
        <f t="shared" si="9"/>
        <v>0</v>
      </c>
      <c r="P15" s="55">
        <f t="shared" si="10"/>
        <v>0</v>
      </c>
      <c r="Q15" s="56">
        <f t="shared" si="11"/>
        <v>0</v>
      </c>
      <c r="R15" s="77">
        <f t="shared" si="12"/>
        <v>0</v>
      </c>
      <c r="S15" s="247" t="e">
        <f t="shared" si="8"/>
        <v>#DIV/0!</v>
      </c>
      <c r="T15" s="206" t="e">
        <f t="shared" si="3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2">
        <f>'summary sheet'!$E$2</f>
        <v>120</v>
      </c>
      <c r="J16" s="301">
        <f t="shared" si="4"/>
        <v>0</v>
      </c>
      <c r="K16" s="187">
        <v>0</v>
      </c>
      <c r="L16" s="187">
        <v>0</v>
      </c>
      <c r="M16" s="187">
        <v>0</v>
      </c>
      <c r="N16" s="54">
        <f t="shared" si="5"/>
        <v>0</v>
      </c>
      <c r="O16" s="55">
        <f t="shared" si="9"/>
        <v>0</v>
      </c>
      <c r="P16" s="55">
        <f t="shared" si="10"/>
        <v>0</v>
      </c>
      <c r="Q16" s="56">
        <f t="shared" si="11"/>
        <v>0</v>
      </c>
      <c r="R16" s="77">
        <f t="shared" si="12"/>
        <v>0</v>
      </c>
      <c r="S16" s="247" t="e">
        <f t="shared" si="8"/>
        <v>#DIV/0!</v>
      </c>
      <c r="T16" s="206" t="e">
        <f t="shared" si="3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2">
        <f>'summary sheet'!$E$2</f>
        <v>120</v>
      </c>
      <c r="J17" s="301">
        <f t="shared" si="4"/>
        <v>0</v>
      </c>
      <c r="K17" s="187">
        <v>0</v>
      </c>
      <c r="L17" s="187">
        <v>0</v>
      </c>
      <c r="M17" s="187">
        <v>0</v>
      </c>
      <c r="N17" s="54">
        <f t="shared" si="5"/>
        <v>0</v>
      </c>
      <c r="O17" s="55">
        <f t="shared" si="9"/>
        <v>0</v>
      </c>
      <c r="P17" s="55">
        <f t="shared" si="10"/>
        <v>0</v>
      </c>
      <c r="Q17" s="56">
        <f t="shared" si="11"/>
        <v>0</v>
      </c>
      <c r="R17" s="77">
        <f t="shared" si="12"/>
        <v>0</v>
      </c>
      <c r="S17" s="247" t="e">
        <f t="shared" si="8"/>
        <v>#DIV/0!</v>
      </c>
      <c r="T17" s="206" t="e">
        <f t="shared" si="3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2">
        <f>'summary sheet'!$E$2</f>
        <v>120</v>
      </c>
      <c r="J18" s="301">
        <f t="shared" si="4"/>
        <v>0</v>
      </c>
      <c r="K18" s="187">
        <v>0</v>
      </c>
      <c r="L18" s="187">
        <v>0</v>
      </c>
      <c r="M18" s="187">
        <v>0</v>
      </c>
      <c r="N18" s="54">
        <f t="shared" si="5"/>
        <v>0</v>
      </c>
      <c r="O18" s="55">
        <f t="shared" si="9"/>
        <v>0</v>
      </c>
      <c r="P18" s="55">
        <f t="shared" si="10"/>
        <v>0</v>
      </c>
      <c r="Q18" s="56">
        <f t="shared" si="11"/>
        <v>0</v>
      </c>
      <c r="R18" s="77">
        <f t="shared" si="12"/>
        <v>0</v>
      </c>
      <c r="S18" s="247" t="e">
        <f t="shared" si="8"/>
        <v>#DIV/0!</v>
      </c>
      <c r="T18" s="206" t="e">
        <f t="shared" si="3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2">
        <f>'summary sheet'!$E$2</f>
        <v>120</v>
      </c>
      <c r="J19" s="315">
        <f t="shared" ref="J19" si="13">SUM(H19*I19)*G19</f>
        <v>0</v>
      </c>
      <c r="K19" s="118">
        <v>0</v>
      </c>
      <c r="L19" s="118">
        <v>0</v>
      </c>
      <c r="M19" s="119">
        <v>0</v>
      </c>
      <c r="N19" s="54">
        <f t="shared" si="5"/>
        <v>0</v>
      </c>
      <c r="O19" s="55">
        <f t="shared" si="9"/>
        <v>0</v>
      </c>
      <c r="P19" s="55">
        <f t="shared" si="10"/>
        <v>0</v>
      </c>
      <c r="Q19" s="56">
        <f t="shared" ref="Q19" si="14">M19</f>
        <v>0</v>
      </c>
      <c r="R19" s="77">
        <f t="shared" si="12"/>
        <v>0</v>
      </c>
      <c r="S19" s="247" t="e">
        <f t="shared" si="8"/>
        <v>#DIV/0!</v>
      </c>
      <c r="T19" s="206" t="e">
        <f t="shared" si="3"/>
        <v>#DIV/0!</v>
      </c>
      <c r="U19" s="89"/>
    </row>
    <row r="20" spans="1:22" ht="12.75" customHeight="1">
      <c r="A20" s="226">
        <v>12</v>
      </c>
      <c r="B20" s="178"/>
      <c r="C20" s="112"/>
      <c r="D20" s="178"/>
      <c r="E20" s="112"/>
      <c r="F20" s="112"/>
      <c r="G20" s="171"/>
      <c r="H20" s="225"/>
      <c r="I20" s="302">
        <f>'summary sheet'!$E$2</f>
        <v>120</v>
      </c>
      <c r="J20" s="315">
        <f>SUM(H20*I20)*G20</f>
        <v>0</v>
      </c>
      <c r="K20" s="118">
        <v>0</v>
      </c>
      <c r="L20" s="118">
        <v>0</v>
      </c>
      <c r="M20" s="119">
        <v>0</v>
      </c>
      <c r="N20" s="54">
        <f>J20</f>
        <v>0</v>
      </c>
      <c r="O20" s="55">
        <f t="shared" si="9"/>
        <v>0</v>
      </c>
      <c r="P20" s="55">
        <f t="shared" si="10"/>
        <v>0</v>
      </c>
      <c r="Q20" s="56">
        <f>M20</f>
        <v>0</v>
      </c>
      <c r="R20" s="77">
        <f t="shared" si="12"/>
        <v>0</v>
      </c>
      <c r="S20" s="247" t="e">
        <f t="shared" si="8"/>
        <v>#DIV/0!</v>
      </c>
      <c r="T20" s="206" t="e">
        <f t="shared" si="3"/>
        <v>#DIV/0!</v>
      </c>
      <c r="U20" s="88"/>
      <c r="V20" s="51"/>
    </row>
    <row r="21" spans="1:22">
      <c r="A21" s="226">
        <v>13</v>
      </c>
      <c r="B21" s="178"/>
      <c r="C21" s="112"/>
      <c r="D21" s="178"/>
      <c r="E21" s="112"/>
      <c r="F21" s="112"/>
      <c r="G21" s="171"/>
      <c r="H21" s="225"/>
      <c r="I21" s="302">
        <f>'summary sheet'!$E$2</f>
        <v>120</v>
      </c>
      <c r="J21" s="315">
        <f>SUM(H21*I21)*G21</f>
        <v>0</v>
      </c>
      <c r="K21" s="118">
        <v>0</v>
      </c>
      <c r="L21" s="118">
        <v>0</v>
      </c>
      <c r="M21" s="119">
        <v>0</v>
      </c>
      <c r="N21" s="54">
        <f t="shared" ref="N21:N41" si="15">J21</f>
        <v>0</v>
      </c>
      <c r="O21" s="55">
        <f t="shared" si="9"/>
        <v>0</v>
      </c>
      <c r="P21" s="55">
        <f t="shared" si="10"/>
        <v>0</v>
      </c>
      <c r="Q21" s="56">
        <f t="shared" ref="Q21:Q41" si="16">M21</f>
        <v>0</v>
      </c>
      <c r="R21" s="77">
        <f t="shared" si="12"/>
        <v>0</v>
      </c>
      <c r="S21" s="247" t="e">
        <f t="shared" si="8"/>
        <v>#DIV/0!</v>
      </c>
      <c r="T21" s="206" t="e">
        <f t="shared" si="3"/>
        <v>#DIV/0!</v>
      </c>
      <c r="U21" s="89"/>
      <c r="V21" s="51"/>
    </row>
    <row r="22" spans="1:22">
      <c r="A22" s="226">
        <v>14</v>
      </c>
      <c r="B22" s="178"/>
      <c r="C22" s="112"/>
      <c r="D22" s="178"/>
      <c r="E22" s="112"/>
      <c r="F22" s="112"/>
      <c r="G22" s="171"/>
      <c r="H22" s="225"/>
      <c r="I22" s="302">
        <f>'summary sheet'!$E$2</f>
        <v>120</v>
      </c>
      <c r="J22" s="315">
        <f t="shared" ref="J22:J41" si="17">SUM(H22*I22)*G22</f>
        <v>0</v>
      </c>
      <c r="K22" s="118">
        <v>0</v>
      </c>
      <c r="L22" s="118">
        <v>0</v>
      </c>
      <c r="M22" s="119">
        <v>0</v>
      </c>
      <c r="N22" s="54">
        <f t="shared" si="15"/>
        <v>0</v>
      </c>
      <c r="O22" s="55">
        <f t="shared" si="9"/>
        <v>0</v>
      </c>
      <c r="P22" s="55">
        <f t="shared" si="10"/>
        <v>0</v>
      </c>
      <c r="Q22" s="56">
        <f t="shared" si="16"/>
        <v>0</v>
      </c>
      <c r="R22" s="77">
        <f t="shared" si="12"/>
        <v>0</v>
      </c>
      <c r="S22" s="247" t="e">
        <f t="shared" si="8"/>
        <v>#DIV/0!</v>
      </c>
      <c r="T22" s="206" t="e">
        <f t="shared" si="3"/>
        <v>#DIV/0!</v>
      </c>
      <c r="U22" s="89"/>
    </row>
    <row r="23" spans="1:22" ht="13.2" customHeight="1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2">
        <f>'summary sheet'!$E$2</f>
        <v>120</v>
      </c>
      <c r="J23" s="315">
        <f t="shared" si="17"/>
        <v>0</v>
      </c>
      <c r="K23" s="118">
        <v>0</v>
      </c>
      <c r="L23" s="118">
        <v>0</v>
      </c>
      <c r="M23" s="119">
        <v>0</v>
      </c>
      <c r="N23" s="54">
        <f t="shared" si="15"/>
        <v>0</v>
      </c>
      <c r="O23" s="55">
        <f t="shared" si="9"/>
        <v>0</v>
      </c>
      <c r="P23" s="55">
        <f t="shared" si="10"/>
        <v>0</v>
      </c>
      <c r="Q23" s="56">
        <f t="shared" si="16"/>
        <v>0</v>
      </c>
      <c r="R23" s="77">
        <f t="shared" si="12"/>
        <v>0</v>
      </c>
      <c r="S23" s="247" t="e">
        <f t="shared" si="8"/>
        <v>#DIV/0!</v>
      </c>
      <c r="T23" s="206" t="e">
        <f t="shared" si="3"/>
        <v>#DIV/0!</v>
      </c>
      <c r="U23" s="89"/>
    </row>
    <row r="24" spans="1:22" ht="13.2" hidden="1" customHeight="1">
      <c r="A24" s="226">
        <v>16</v>
      </c>
      <c r="B24" s="178"/>
      <c r="C24" s="112"/>
      <c r="D24" s="178"/>
      <c r="E24" s="112"/>
      <c r="F24" s="112"/>
      <c r="G24" s="171"/>
      <c r="H24" s="225"/>
      <c r="I24" s="302">
        <f>'summary sheet'!$E$2</f>
        <v>120</v>
      </c>
      <c r="J24" s="315">
        <f t="shared" si="17"/>
        <v>0</v>
      </c>
      <c r="K24" s="118">
        <v>0</v>
      </c>
      <c r="L24" s="118">
        <v>0</v>
      </c>
      <c r="M24" s="119">
        <v>0</v>
      </c>
      <c r="N24" s="54">
        <f t="shared" si="15"/>
        <v>0</v>
      </c>
      <c r="O24" s="55">
        <f t="shared" si="9"/>
        <v>0</v>
      </c>
      <c r="P24" s="55">
        <f t="shared" si="10"/>
        <v>0</v>
      </c>
      <c r="Q24" s="56">
        <f t="shared" si="16"/>
        <v>0</v>
      </c>
      <c r="R24" s="77">
        <f t="shared" si="12"/>
        <v>0</v>
      </c>
      <c r="S24" s="247" t="e">
        <f t="shared" si="8"/>
        <v>#DIV/0!</v>
      </c>
      <c r="T24" s="206" t="e">
        <f t="shared" si="3"/>
        <v>#DIV/0!</v>
      </c>
      <c r="U24" s="89"/>
    </row>
    <row r="25" spans="1:22" ht="13.2" hidden="1" customHeight="1">
      <c r="A25" s="226">
        <v>17</v>
      </c>
      <c r="B25" s="178"/>
      <c r="C25" s="112"/>
      <c r="D25" s="178"/>
      <c r="E25" s="112"/>
      <c r="F25" s="112"/>
      <c r="G25" s="171"/>
      <c r="H25" s="225"/>
      <c r="I25" s="302">
        <f>'summary sheet'!$E$2</f>
        <v>120</v>
      </c>
      <c r="J25" s="315">
        <f t="shared" si="17"/>
        <v>0</v>
      </c>
      <c r="K25" s="118">
        <v>0</v>
      </c>
      <c r="L25" s="118">
        <v>0</v>
      </c>
      <c r="M25" s="119">
        <v>0</v>
      </c>
      <c r="N25" s="54">
        <f t="shared" si="15"/>
        <v>0</v>
      </c>
      <c r="O25" s="55">
        <f t="shared" si="9"/>
        <v>0</v>
      </c>
      <c r="P25" s="55">
        <f t="shared" si="10"/>
        <v>0</v>
      </c>
      <c r="Q25" s="56">
        <f t="shared" si="16"/>
        <v>0</v>
      </c>
      <c r="R25" s="77">
        <f t="shared" si="12"/>
        <v>0</v>
      </c>
      <c r="S25" s="247" t="e">
        <f t="shared" si="8"/>
        <v>#DIV/0!</v>
      </c>
      <c r="T25" s="206" t="e">
        <f t="shared" si="3"/>
        <v>#DIV/0!</v>
      </c>
      <c r="U25" s="89"/>
    </row>
    <row r="26" spans="1:22" ht="13.2" hidden="1" customHeight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15">
        <f t="shared" si="17"/>
        <v>0</v>
      </c>
      <c r="K26" s="118">
        <v>0</v>
      </c>
      <c r="L26" s="118">
        <v>0</v>
      </c>
      <c r="M26" s="119">
        <v>0</v>
      </c>
      <c r="N26" s="54">
        <f t="shared" si="15"/>
        <v>0</v>
      </c>
      <c r="O26" s="55">
        <f t="shared" si="9"/>
        <v>0</v>
      </c>
      <c r="P26" s="55">
        <f t="shared" si="10"/>
        <v>0</v>
      </c>
      <c r="Q26" s="56">
        <f t="shared" si="16"/>
        <v>0</v>
      </c>
      <c r="R26" s="77">
        <f t="shared" si="12"/>
        <v>0</v>
      </c>
      <c r="S26" s="247" t="e">
        <f t="shared" si="8"/>
        <v>#DIV/0!</v>
      </c>
      <c r="T26" s="206" t="e">
        <f t="shared" si="3"/>
        <v>#DIV/0!</v>
      </c>
      <c r="U26" s="89"/>
    </row>
    <row r="27" spans="1:22" hidden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15">
        <f t="shared" si="17"/>
        <v>0</v>
      </c>
      <c r="K27" s="118">
        <v>0</v>
      </c>
      <c r="L27" s="118">
        <v>0</v>
      </c>
      <c r="M27" s="119">
        <v>0</v>
      </c>
      <c r="N27" s="54">
        <f t="shared" si="15"/>
        <v>0</v>
      </c>
      <c r="O27" s="55">
        <f t="shared" si="9"/>
        <v>0</v>
      </c>
      <c r="P27" s="55">
        <f t="shared" si="10"/>
        <v>0</v>
      </c>
      <c r="Q27" s="56">
        <f t="shared" si="16"/>
        <v>0</v>
      </c>
      <c r="R27" s="77">
        <f t="shared" si="12"/>
        <v>0</v>
      </c>
      <c r="S27" s="247" t="e">
        <f t="shared" si="8"/>
        <v>#DIV/0!</v>
      </c>
      <c r="T27" s="206" t="e">
        <f t="shared" si="3"/>
        <v>#DIV/0!</v>
      </c>
      <c r="U27" s="89"/>
    </row>
    <row r="28" spans="1:22" hidden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15">
        <f t="shared" si="17"/>
        <v>0</v>
      </c>
      <c r="K28" s="118">
        <v>0</v>
      </c>
      <c r="L28" s="118">
        <v>0</v>
      </c>
      <c r="M28" s="119">
        <v>0</v>
      </c>
      <c r="N28" s="54">
        <f t="shared" si="15"/>
        <v>0</v>
      </c>
      <c r="O28" s="55">
        <f t="shared" si="9"/>
        <v>0</v>
      </c>
      <c r="P28" s="55">
        <f t="shared" si="10"/>
        <v>0</v>
      </c>
      <c r="Q28" s="56">
        <f t="shared" si="16"/>
        <v>0</v>
      </c>
      <c r="R28" s="77">
        <f t="shared" si="12"/>
        <v>0</v>
      </c>
      <c r="S28" s="247" t="e">
        <f t="shared" si="8"/>
        <v>#DIV/0!</v>
      </c>
      <c r="T28" s="206" t="e">
        <f t="shared" si="3"/>
        <v>#DIV/0!</v>
      </c>
      <c r="U28" s="89"/>
    </row>
    <row r="29" spans="1:22" hidden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15">
        <f t="shared" si="17"/>
        <v>0</v>
      </c>
      <c r="K29" s="118">
        <v>0</v>
      </c>
      <c r="L29" s="118">
        <v>0</v>
      </c>
      <c r="M29" s="119">
        <v>0</v>
      </c>
      <c r="N29" s="54">
        <f t="shared" si="15"/>
        <v>0</v>
      </c>
      <c r="O29" s="55">
        <f t="shared" si="9"/>
        <v>0</v>
      </c>
      <c r="P29" s="55">
        <f t="shared" si="10"/>
        <v>0</v>
      </c>
      <c r="Q29" s="56">
        <f t="shared" si="16"/>
        <v>0</v>
      </c>
      <c r="R29" s="77">
        <f t="shared" si="12"/>
        <v>0</v>
      </c>
      <c r="S29" s="247" t="e">
        <f t="shared" si="8"/>
        <v>#DIV/0!</v>
      </c>
      <c r="T29" s="206" t="e">
        <f t="shared" si="3"/>
        <v>#DIV/0!</v>
      </c>
      <c r="U29" s="89"/>
    </row>
    <row r="30" spans="1:22" hidden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15">
        <f t="shared" si="17"/>
        <v>0</v>
      </c>
      <c r="K30" s="118">
        <v>0</v>
      </c>
      <c r="L30" s="118">
        <v>0</v>
      </c>
      <c r="M30" s="119">
        <v>0</v>
      </c>
      <c r="N30" s="54">
        <f t="shared" si="15"/>
        <v>0</v>
      </c>
      <c r="O30" s="55">
        <f t="shared" si="9"/>
        <v>0</v>
      </c>
      <c r="P30" s="55">
        <f t="shared" si="10"/>
        <v>0</v>
      </c>
      <c r="Q30" s="56">
        <f t="shared" si="16"/>
        <v>0</v>
      </c>
      <c r="R30" s="77">
        <f t="shared" si="12"/>
        <v>0</v>
      </c>
      <c r="S30" s="247" t="e">
        <f t="shared" si="8"/>
        <v>#DIV/0!</v>
      </c>
      <c r="T30" s="206" t="e">
        <f t="shared" si="3"/>
        <v>#DIV/0!</v>
      </c>
      <c r="U30" s="89"/>
    </row>
    <row r="31" spans="1:22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15">
        <f t="shared" si="17"/>
        <v>0</v>
      </c>
      <c r="K31" s="118">
        <v>0</v>
      </c>
      <c r="L31" s="118">
        <v>0</v>
      </c>
      <c r="M31" s="119">
        <v>0</v>
      </c>
      <c r="N31" s="54">
        <f t="shared" si="15"/>
        <v>0</v>
      </c>
      <c r="O31" s="55">
        <f t="shared" si="9"/>
        <v>0</v>
      </c>
      <c r="P31" s="55">
        <f t="shared" si="10"/>
        <v>0</v>
      </c>
      <c r="Q31" s="56">
        <f t="shared" si="16"/>
        <v>0</v>
      </c>
      <c r="R31" s="77">
        <f t="shared" si="12"/>
        <v>0</v>
      </c>
      <c r="S31" s="247" t="e">
        <f t="shared" si="8"/>
        <v>#DIV/0!</v>
      </c>
      <c r="T31" s="206" t="e">
        <f t="shared" si="3"/>
        <v>#DIV/0!</v>
      </c>
      <c r="U31" s="89"/>
    </row>
    <row r="32" spans="1:22" ht="13.2" hidden="1" customHeight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15">
        <f t="shared" si="17"/>
        <v>0</v>
      </c>
      <c r="K32" s="118">
        <v>0</v>
      </c>
      <c r="L32" s="118">
        <v>0</v>
      </c>
      <c r="M32" s="119">
        <v>0</v>
      </c>
      <c r="N32" s="54">
        <f t="shared" si="15"/>
        <v>0</v>
      </c>
      <c r="O32" s="55">
        <f t="shared" si="9"/>
        <v>0</v>
      </c>
      <c r="P32" s="55">
        <f t="shared" si="10"/>
        <v>0</v>
      </c>
      <c r="Q32" s="56">
        <f t="shared" si="16"/>
        <v>0</v>
      </c>
      <c r="R32" s="77">
        <f t="shared" si="12"/>
        <v>0</v>
      </c>
      <c r="S32" s="247" t="e">
        <f t="shared" si="8"/>
        <v>#DIV/0!</v>
      </c>
      <c r="T32" s="206" t="e">
        <f t="shared" si="3"/>
        <v>#DIV/0!</v>
      </c>
      <c r="U32" s="89"/>
    </row>
    <row r="33" spans="1:21" ht="13.2" hidden="1" customHeight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si="17"/>
        <v>0</v>
      </c>
      <c r="K33" s="118">
        <v>0</v>
      </c>
      <c r="L33" s="118">
        <v>0</v>
      </c>
      <c r="M33" s="119">
        <v>0</v>
      </c>
      <c r="N33" s="54">
        <f t="shared" si="15"/>
        <v>0</v>
      </c>
      <c r="O33" s="55">
        <f t="shared" si="9"/>
        <v>0</v>
      </c>
      <c r="P33" s="55">
        <f t="shared" si="10"/>
        <v>0</v>
      </c>
      <c r="Q33" s="56">
        <f t="shared" si="16"/>
        <v>0</v>
      </c>
      <c r="R33" s="77">
        <f t="shared" si="12"/>
        <v>0</v>
      </c>
      <c r="S33" s="247" t="e">
        <f t="shared" si="8"/>
        <v>#DIV/0!</v>
      </c>
      <c r="T33" s="206" t="e">
        <f t="shared" si="3"/>
        <v>#DIV/0!</v>
      </c>
      <c r="U33" s="89"/>
    </row>
    <row r="34" spans="1:21" ht="13.2" hidden="1" customHeight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 t="shared" si="17"/>
        <v>0</v>
      </c>
      <c r="K34" s="118">
        <v>0</v>
      </c>
      <c r="L34" s="118">
        <v>0</v>
      </c>
      <c r="M34" s="119">
        <v>0</v>
      </c>
      <c r="N34" s="54">
        <f t="shared" si="15"/>
        <v>0</v>
      </c>
      <c r="O34" s="55">
        <f t="shared" si="9"/>
        <v>0</v>
      </c>
      <c r="P34" s="55">
        <f t="shared" si="10"/>
        <v>0</v>
      </c>
      <c r="Q34" s="56">
        <f t="shared" si="16"/>
        <v>0</v>
      </c>
      <c r="R34" s="77">
        <f t="shared" si="12"/>
        <v>0</v>
      </c>
      <c r="S34" s="247" t="e">
        <f t="shared" si="8"/>
        <v>#DIV/0!</v>
      </c>
      <c r="T34" s="206" t="e">
        <f t="shared" si="3"/>
        <v>#DIV/0!</v>
      </c>
      <c r="U34" s="89"/>
    </row>
    <row r="35" spans="1:21" ht="13.2" hidden="1" customHeight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 t="shared" si="17"/>
        <v>0</v>
      </c>
      <c r="K35" s="118">
        <v>0</v>
      </c>
      <c r="L35" s="118">
        <v>0</v>
      </c>
      <c r="M35" s="119">
        <v>0</v>
      </c>
      <c r="N35" s="54">
        <f t="shared" si="15"/>
        <v>0</v>
      </c>
      <c r="O35" s="55">
        <f t="shared" si="9"/>
        <v>0</v>
      </c>
      <c r="P35" s="55">
        <f t="shared" si="10"/>
        <v>0</v>
      </c>
      <c r="Q35" s="56">
        <f t="shared" si="16"/>
        <v>0</v>
      </c>
      <c r="R35" s="77">
        <f t="shared" si="12"/>
        <v>0</v>
      </c>
      <c r="S35" s="247" t="e">
        <f t="shared" si="8"/>
        <v>#DIV/0!</v>
      </c>
      <c r="T35" s="206" t="e">
        <f t="shared" si="3"/>
        <v>#DIV/0!</v>
      </c>
      <c r="U35" s="89"/>
    </row>
    <row r="36" spans="1:21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si="17"/>
        <v>0</v>
      </c>
      <c r="K36" s="118">
        <v>0</v>
      </c>
      <c r="L36" s="118">
        <v>0</v>
      </c>
      <c r="M36" s="119">
        <v>0</v>
      </c>
      <c r="N36" s="54">
        <f t="shared" si="15"/>
        <v>0</v>
      </c>
      <c r="O36" s="55">
        <f t="shared" si="9"/>
        <v>0</v>
      </c>
      <c r="P36" s="55">
        <f t="shared" si="10"/>
        <v>0</v>
      </c>
      <c r="Q36" s="56">
        <f t="shared" si="16"/>
        <v>0</v>
      </c>
      <c r="R36" s="77">
        <f t="shared" si="12"/>
        <v>0</v>
      </c>
      <c r="S36" s="247" t="e">
        <f t="shared" si="8"/>
        <v>#DIV/0!</v>
      </c>
      <c r="T36" s="206" t="e">
        <f t="shared" si="3"/>
        <v>#DIV/0!</v>
      </c>
      <c r="U36" s="89"/>
    </row>
    <row r="37" spans="1:21" hidden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7"/>
        <v>0</v>
      </c>
      <c r="K37" s="118">
        <v>0</v>
      </c>
      <c r="L37" s="118">
        <v>0</v>
      </c>
      <c r="M37" s="119">
        <v>0</v>
      </c>
      <c r="N37" s="54">
        <f t="shared" si="15"/>
        <v>0</v>
      </c>
      <c r="O37" s="55">
        <f t="shared" si="9"/>
        <v>0</v>
      </c>
      <c r="P37" s="55">
        <f t="shared" si="10"/>
        <v>0</v>
      </c>
      <c r="Q37" s="56">
        <f t="shared" si="16"/>
        <v>0</v>
      </c>
      <c r="R37" s="77">
        <f t="shared" si="12"/>
        <v>0</v>
      </c>
      <c r="S37" s="247" t="e">
        <f t="shared" si="8"/>
        <v>#DIV/0!</v>
      </c>
      <c r="T37" s="206" t="e">
        <f t="shared" si="3"/>
        <v>#DIV/0!</v>
      </c>
      <c r="U37" s="89"/>
    </row>
    <row r="38" spans="1:21" hidden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7"/>
        <v>0</v>
      </c>
      <c r="K38" s="118">
        <v>0</v>
      </c>
      <c r="L38" s="118">
        <v>0</v>
      </c>
      <c r="M38" s="119">
        <v>0</v>
      </c>
      <c r="N38" s="54">
        <f t="shared" si="15"/>
        <v>0</v>
      </c>
      <c r="O38" s="55">
        <f t="shared" si="9"/>
        <v>0</v>
      </c>
      <c r="P38" s="55">
        <f t="shared" si="10"/>
        <v>0</v>
      </c>
      <c r="Q38" s="56">
        <f t="shared" si="16"/>
        <v>0</v>
      </c>
      <c r="R38" s="77">
        <f t="shared" si="12"/>
        <v>0</v>
      </c>
      <c r="S38" s="247" t="e">
        <f t="shared" si="8"/>
        <v>#DIV/0!</v>
      </c>
      <c r="T38" s="206" t="e">
        <f t="shared" si="3"/>
        <v>#DIV/0!</v>
      </c>
      <c r="U38" s="89"/>
    </row>
    <row r="39" spans="1:21" hidden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7"/>
        <v>0</v>
      </c>
      <c r="K39" s="118">
        <v>0</v>
      </c>
      <c r="L39" s="118">
        <v>0</v>
      </c>
      <c r="M39" s="119">
        <v>0</v>
      </c>
      <c r="N39" s="54">
        <f t="shared" si="15"/>
        <v>0</v>
      </c>
      <c r="O39" s="55">
        <f t="shared" si="9"/>
        <v>0</v>
      </c>
      <c r="P39" s="55">
        <f t="shared" si="10"/>
        <v>0</v>
      </c>
      <c r="Q39" s="56">
        <f t="shared" si="16"/>
        <v>0</v>
      </c>
      <c r="R39" s="77">
        <f t="shared" si="12"/>
        <v>0</v>
      </c>
      <c r="S39" s="247" t="e">
        <f t="shared" si="8"/>
        <v>#DIV/0!</v>
      </c>
      <c r="T39" s="206" t="e">
        <f t="shared" si="3"/>
        <v>#DIV/0!</v>
      </c>
      <c r="U39" s="89"/>
    </row>
    <row r="40" spans="1:21" hidden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7"/>
        <v>0</v>
      </c>
      <c r="K40" s="118">
        <v>0</v>
      </c>
      <c r="L40" s="118">
        <v>0</v>
      </c>
      <c r="M40" s="119">
        <v>0</v>
      </c>
      <c r="N40" s="54">
        <f t="shared" si="15"/>
        <v>0</v>
      </c>
      <c r="O40" s="55">
        <f t="shared" si="9"/>
        <v>0</v>
      </c>
      <c r="P40" s="55">
        <f t="shared" si="10"/>
        <v>0</v>
      </c>
      <c r="Q40" s="56">
        <f t="shared" si="16"/>
        <v>0</v>
      </c>
      <c r="R40" s="77">
        <f t="shared" si="12"/>
        <v>0</v>
      </c>
      <c r="S40" s="247" t="e">
        <f t="shared" si="8"/>
        <v>#DIV/0!</v>
      </c>
      <c r="T40" s="206" t="e">
        <f t="shared" si="3"/>
        <v>#DIV/0!</v>
      </c>
      <c r="U40" s="89"/>
    </row>
    <row r="41" spans="1:21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7"/>
        <v>0</v>
      </c>
      <c r="K41" s="118">
        <v>0</v>
      </c>
      <c r="L41" s="118">
        <v>0</v>
      </c>
      <c r="M41" s="119">
        <v>0</v>
      </c>
      <c r="N41" s="54">
        <f t="shared" si="15"/>
        <v>0</v>
      </c>
      <c r="O41" s="55">
        <f t="shared" si="9"/>
        <v>0</v>
      </c>
      <c r="P41" s="55">
        <f t="shared" si="10"/>
        <v>0</v>
      </c>
      <c r="Q41" s="56">
        <f t="shared" si="16"/>
        <v>0</v>
      </c>
      <c r="R41" s="77">
        <f t="shared" si="12"/>
        <v>0</v>
      </c>
      <c r="S41" s="247" t="e">
        <f t="shared" si="8"/>
        <v>#DIV/0!</v>
      </c>
      <c r="T41" s="206" t="e">
        <f t="shared" si="3"/>
        <v>#DIV/0!</v>
      </c>
      <c r="U41" s="89"/>
    </row>
    <row r="42" spans="1:21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1">
        <f>'summary sheet'!$E$2</f>
        <v>120</v>
      </c>
      <c r="J42" s="301">
        <f t="shared" si="4"/>
        <v>0</v>
      </c>
      <c r="K42" s="187">
        <v>0</v>
      </c>
      <c r="L42" s="187">
        <v>0</v>
      </c>
      <c r="M42" s="187">
        <v>0</v>
      </c>
      <c r="N42" s="54">
        <f t="shared" si="5"/>
        <v>0</v>
      </c>
      <c r="O42" s="55">
        <f t="shared" si="6"/>
        <v>0</v>
      </c>
      <c r="P42" s="55">
        <f t="shared" si="7"/>
        <v>0</v>
      </c>
      <c r="Q42" s="56">
        <f t="shared" ref="Q42:Q58" si="18">SUM(G42)*M42</f>
        <v>0</v>
      </c>
      <c r="R42" s="77">
        <f t="shared" ref="R42:R58" si="19">SUM(N42:Q42)</f>
        <v>0</v>
      </c>
      <c r="S42" s="247" t="e">
        <f t="shared" si="8"/>
        <v>#DIV/0!</v>
      </c>
      <c r="T42" s="206" t="e">
        <f t="shared" si="3"/>
        <v>#DIV/0!</v>
      </c>
      <c r="U42" s="89"/>
    </row>
    <row r="43" spans="1:21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1">
        <f>'summary sheet'!$E$2</f>
        <v>120</v>
      </c>
      <c r="J43" s="301">
        <f t="shared" si="4"/>
        <v>0</v>
      </c>
      <c r="K43" s="187">
        <v>0</v>
      </c>
      <c r="L43" s="187">
        <v>0</v>
      </c>
      <c r="M43" s="187">
        <v>0</v>
      </c>
      <c r="N43" s="54">
        <f t="shared" si="5"/>
        <v>0</v>
      </c>
      <c r="O43" s="55">
        <f t="shared" si="6"/>
        <v>0</v>
      </c>
      <c r="P43" s="55">
        <f t="shared" si="7"/>
        <v>0</v>
      </c>
      <c r="Q43" s="56">
        <f t="shared" si="18"/>
        <v>0</v>
      </c>
      <c r="R43" s="77">
        <f t="shared" si="19"/>
        <v>0</v>
      </c>
      <c r="S43" s="247" t="e">
        <f t="shared" si="8"/>
        <v>#DIV/0!</v>
      </c>
      <c r="T43" s="206" t="e">
        <f t="shared" si="3"/>
        <v>#DIV/0!</v>
      </c>
      <c r="U43" s="89"/>
    </row>
    <row r="44" spans="1:21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1">
        <f>'summary sheet'!$E$2</f>
        <v>120</v>
      </c>
      <c r="J44" s="301">
        <f t="shared" si="4"/>
        <v>0</v>
      </c>
      <c r="K44" s="187">
        <v>0</v>
      </c>
      <c r="L44" s="187">
        <v>0</v>
      </c>
      <c r="M44" s="187">
        <v>0</v>
      </c>
      <c r="N44" s="54">
        <f t="shared" si="5"/>
        <v>0</v>
      </c>
      <c r="O44" s="55">
        <f t="shared" si="6"/>
        <v>0</v>
      </c>
      <c r="P44" s="55">
        <f t="shared" si="7"/>
        <v>0</v>
      </c>
      <c r="Q44" s="56">
        <f t="shared" si="18"/>
        <v>0</v>
      </c>
      <c r="R44" s="77">
        <f t="shared" si="19"/>
        <v>0</v>
      </c>
      <c r="S44" s="247" t="e">
        <f t="shared" si="8"/>
        <v>#DIV/0!</v>
      </c>
      <c r="T44" s="206" t="e">
        <f t="shared" si="3"/>
        <v>#DIV/0!</v>
      </c>
      <c r="U44" s="89"/>
    </row>
    <row r="45" spans="1:21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1">
        <f>'summary sheet'!$E$2</f>
        <v>120</v>
      </c>
      <c r="J45" s="301">
        <f t="shared" si="4"/>
        <v>0</v>
      </c>
      <c r="K45" s="187">
        <v>0</v>
      </c>
      <c r="L45" s="187">
        <v>0</v>
      </c>
      <c r="M45" s="187">
        <v>0</v>
      </c>
      <c r="N45" s="54">
        <f t="shared" si="5"/>
        <v>0</v>
      </c>
      <c r="O45" s="55">
        <f t="shared" si="6"/>
        <v>0</v>
      </c>
      <c r="P45" s="55">
        <f t="shared" si="7"/>
        <v>0</v>
      </c>
      <c r="Q45" s="56">
        <f t="shared" si="18"/>
        <v>0</v>
      </c>
      <c r="R45" s="77">
        <f t="shared" si="19"/>
        <v>0</v>
      </c>
      <c r="S45" s="247" t="e">
        <f t="shared" si="8"/>
        <v>#DIV/0!</v>
      </c>
      <c r="T45" s="206" t="e">
        <f t="shared" si="3"/>
        <v>#DIV/0!</v>
      </c>
      <c r="U45" s="89"/>
    </row>
    <row r="46" spans="1:21" hidden="1">
      <c r="A46" s="226">
        <v>38</v>
      </c>
      <c r="B46" s="178"/>
      <c r="C46" s="112"/>
      <c r="D46" s="178"/>
      <c r="E46" s="112"/>
      <c r="F46" s="112"/>
      <c r="G46" s="171"/>
      <c r="H46" s="225"/>
      <c r="I46" s="301">
        <f>'summary sheet'!$E$2</f>
        <v>120</v>
      </c>
      <c r="J46" s="301">
        <f t="shared" si="4"/>
        <v>0</v>
      </c>
      <c r="K46" s="187">
        <v>0</v>
      </c>
      <c r="L46" s="187">
        <v>0</v>
      </c>
      <c r="M46" s="187">
        <v>0</v>
      </c>
      <c r="N46" s="54">
        <f t="shared" si="5"/>
        <v>0</v>
      </c>
      <c r="O46" s="55">
        <f t="shared" si="6"/>
        <v>0</v>
      </c>
      <c r="P46" s="55">
        <f t="shared" si="7"/>
        <v>0</v>
      </c>
      <c r="Q46" s="56">
        <f t="shared" si="18"/>
        <v>0</v>
      </c>
      <c r="R46" s="77">
        <f t="shared" si="19"/>
        <v>0</v>
      </c>
      <c r="S46" s="247" t="e">
        <f t="shared" si="8"/>
        <v>#DIV/0!</v>
      </c>
      <c r="T46" s="206" t="e">
        <f t="shared" si="3"/>
        <v>#DIV/0!</v>
      </c>
      <c r="U46" s="89"/>
    </row>
    <row r="47" spans="1:21" hidden="1">
      <c r="A47" s="226">
        <v>39</v>
      </c>
      <c r="B47" s="178"/>
      <c r="C47" s="112"/>
      <c r="D47" s="178"/>
      <c r="E47" s="112"/>
      <c r="F47" s="112"/>
      <c r="G47" s="171"/>
      <c r="H47" s="225"/>
      <c r="I47" s="301">
        <f>'summary sheet'!$E$2</f>
        <v>120</v>
      </c>
      <c r="J47" s="301">
        <f t="shared" si="4"/>
        <v>0</v>
      </c>
      <c r="K47" s="187">
        <v>0</v>
      </c>
      <c r="L47" s="187">
        <v>0</v>
      </c>
      <c r="M47" s="187">
        <v>0</v>
      </c>
      <c r="N47" s="54">
        <f t="shared" si="5"/>
        <v>0</v>
      </c>
      <c r="O47" s="55">
        <f t="shared" si="6"/>
        <v>0</v>
      </c>
      <c r="P47" s="55">
        <f t="shared" si="7"/>
        <v>0</v>
      </c>
      <c r="Q47" s="56">
        <f t="shared" si="18"/>
        <v>0</v>
      </c>
      <c r="R47" s="77">
        <f t="shared" si="19"/>
        <v>0</v>
      </c>
      <c r="S47" s="247" t="e">
        <f t="shared" si="8"/>
        <v>#DIV/0!</v>
      </c>
      <c r="T47" s="206" t="e">
        <f t="shared" si="3"/>
        <v>#DIV/0!</v>
      </c>
      <c r="U47" s="89"/>
    </row>
    <row r="48" spans="1:21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1">
        <f>'summary sheet'!$E$2</f>
        <v>120</v>
      </c>
      <c r="J48" s="301">
        <f t="shared" si="4"/>
        <v>0</v>
      </c>
      <c r="K48" s="187">
        <v>0</v>
      </c>
      <c r="L48" s="187">
        <v>0</v>
      </c>
      <c r="M48" s="187">
        <v>0</v>
      </c>
      <c r="N48" s="54">
        <f t="shared" si="5"/>
        <v>0</v>
      </c>
      <c r="O48" s="55">
        <f t="shared" si="6"/>
        <v>0</v>
      </c>
      <c r="P48" s="55">
        <f t="shared" si="7"/>
        <v>0</v>
      </c>
      <c r="Q48" s="56">
        <f t="shared" si="18"/>
        <v>0</v>
      </c>
      <c r="R48" s="77">
        <f t="shared" si="19"/>
        <v>0</v>
      </c>
      <c r="S48" s="247" t="e">
        <f t="shared" si="8"/>
        <v>#DIV/0!</v>
      </c>
      <c r="T48" s="206" t="e">
        <f t="shared" si="3"/>
        <v>#DIV/0!</v>
      </c>
      <c r="U48" s="89"/>
    </row>
    <row r="49" spans="1:21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1">
        <f>'summary sheet'!$E$2</f>
        <v>120</v>
      </c>
      <c r="J49" s="301">
        <f t="shared" si="4"/>
        <v>0</v>
      </c>
      <c r="K49" s="187">
        <v>0</v>
      </c>
      <c r="L49" s="187">
        <v>0</v>
      </c>
      <c r="M49" s="187">
        <v>0</v>
      </c>
      <c r="N49" s="54">
        <f t="shared" si="5"/>
        <v>0</v>
      </c>
      <c r="O49" s="55">
        <f t="shared" si="6"/>
        <v>0</v>
      </c>
      <c r="P49" s="55">
        <f t="shared" si="7"/>
        <v>0</v>
      </c>
      <c r="Q49" s="56">
        <f t="shared" si="18"/>
        <v>0</v>
      </c>
      <c r="R49" s="77">
        <f t="shared" si="19"/>
        <v>0</v>
      </c>
      <c r="S49" s="247" t="e">
        <f t="shared" si="8"/>
        <v>#DIV/0!</v>
      </c>
      <c r="T49" s="206" t="e">
        <f t="shared" si="3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1">
        <f>'summary sheet'!$E$2</f>
        <v>120</v>
      </c>
      <c r="J50" s="301">
        <f t="shared" si="4"/>
        <v>0</v>
      </c>
      <c r="K50" s="187">
        <v>0</v>
      </c>
      <c r="L50" s="187">
        <v>0</v>
      </c>
      <c r="M50" s="187">
        <v>0</v>
      </c>
      <c r="N50" s="54">
        <f t="shared" si="5"/>
        <v>0</v>
      </c>
      <c r="O50" s="55">
        <f t="shared" si="6"/>
        <v>0</v>
      </c>
      <c r="P50" s="55">
        <f t="shared" si="7"/>
        <v>0</v>
      </c>
      <c r="Q50" s="56">
        <f t="shared" si="18"/>
        <v>0</v>
      </c>
      <c r="R50" s="77">
        <f t="shared" si="19"/>
        <v>0</v>
      </c>
      <c r="S50" s="247" t="e">
        <f t="shared" si="8"/>
        <v>#DIV/0!</v>
      </c>
      <c r="T50" s="206" t="e">
        <f t="shared" si="3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1">
        <f>'summary sheet'!$E$2</f>
        <v>120</v>
      </c>
      <c r="J51" s="301">
        <f t="shared" si="4"/>
        <v>0</v>
      </c>
      <c r="K51" s="187">
        <v>0</v>
      </c>
      <c r="L51" s="187">
        <v>0</v>
      </c>
      <c r="M51" s="187">
        <v>0</v>
      </c>
      <c r="N51" s="54">
        <f t="shared" si="5"/>
        <v>0</v>
      </c>
      <c r="O51" s="55">
        <f t="shared" si="6"/>
        <v>0</v>
      </c>
      <c r="P51" s="55">
        <f t="shared" si="7"/>
        <v>0</v>
      </c>
      <c r="Q51" s="56">
        <f t="shared" si="18"/>
        <v>0</v>
      </c>
      <c r="R51" s="77">
        <f t="shared" si="19"/>
        <v>0</v>
      </c>
      <c r="S51" s="247" t="e">
        <f t="shared" si="8"/>
        <v>#DIV/0!</v>
      </c>
      <c r="T51" s="206" t="e">
        <f t="shared" si="3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1">
        <f>'summary sheet'!$E$2</f>
        <v>120</v>
      </c>
      <c r="J52" s="301">
        <f t="shared" si="4"/>
        <v>0</v>
      </c>
      <c r="K52" s="187">
        <v>0</v>
      </c>
      <c r="L52" s="187">
        <v>0</v>
      </c>
      <c r="M52" s="187">
        <v>0</v>
      </c>
      <c r="N52" s="54">
        <f t="shared" si="5"/>
        <v>0</v>
      </c>
      <c r="O52" s="55">
        <f t="shared" si="6"/>
        <v>0</v>
      </c>
      <c r="P52" s="55">
        <f t="shared" si="7"/>
        <v>0</v>
      </c>
      <c r="Q52" s="56">
        <f t="shared" si="18"/>
        <v>0</v>
      </c>
      <c r="R52" s="77">
        <f t="shared" si="19"/>
        <v>0</v>
      </c>
      <c r="S52" s="247" t="e">
        <f t="shared" si="8"/>
        <v>#DIV/0!</v>
      </c>
      <c r="T52" s="206" t="e">
        <f t="shared" si="3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1">
        <f>'summary sheet'!$E$2</f>
        <v>120</v>
      </c>
      <c r="J53" s="301">
        <f t="shared" si="4"/>
        <v>0</v>
      </c>
      <c r="K53" s="187">
        <v>0</v>
      </c>
      <c r="L53" s="187">
        <v>0</v>
      </c>
      <c r="M53" s="187">
        <v>0</v>
      </c>
      <c r="N53" s="54">
        <f t="shared" si="5"/>
        <v>0</v>
      </c>
      <c r="O53" s="55">
        <f t="shared" si="6"/>
        <v>0</v>
      </c>
      <c r="P53" s="55">
        <f t="shared" si="7"/>
        <v>0</v>
      </c>
      <c r="Q53" s="56">
        <f t="shared" si="18"/>
        <v>0</v>
      </c>
      <c r="R53" s="77">
        <f t="shared" si="19"/>
        <v>0</v>
      </c>
      <c r="S53" s="247" t="e">
        <f t="shared" si="8"/>
        <v>#DIV/0!</v>
      </c>
      <c r="T53" s="206" t="e">
        <f t="shared" si="3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1">
        <f>'summary sheet'!$E$2</f>
        <v>120</v>
      </c>
      <c r="J54" s="301">
        <f t="shared" si="4"/>
        <v>0</v>
      </c>
      <c r="K54" s="187">
        <v>0</v>
      </c>
      <c r="L54" s="187">
        <v>0</v>
      </c>
      <c r="M54" s="187">
        <v>0</v>
      </c>
      <c r="N54" s="54">
        <f t="shared" si="5"/>
        <v>0</v>
      </c>
      <c r="O54" s="55">
        <f t="shared" si="6"/>
        <v>0</v>
      </c>
      <c r="P54" s="55">
        <f t="shared" si="7"/>
        <v>0</v>
      </c>
      <c r="Q54" s="56">
        <f t="shared" si="18"/>
        <v>0</v>
      </c>
      <c r="R54" s="77">
        <f t="shared" si="19"/>
        <v>0</v>
      </c>
      <c r="S54" s="247" t="e">
        <f t="shared" si="8"/>
        <v>#DIV/0!</v>
      </c>
      <c r="T54" s="206" t="e">
        <f t="shared" si="3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1">
        <f>'summary sheet'!$E$2</f>
        <v>120</v>
      </c>
      <c r="J55" s="301">
        <f t="shared" si="4"/>
        <v>0</v>
      </c>
      <c r="K55" s="187">
        <v>0</v>
      </c>
      <c r="L55" s="187">
        <v>0</v>
      </c>
      <c r="M55" s="187">
        <v>0</v>
      </c>
      <c r="N55" s="54">
        <f t="shared" si="5"/>
        <v>0</v>
      </c>
      <c r="O55" s="55">
        <f t="shared" si="6"/>
        <v>0</v>
      </c>
      <c r="P55" s="55">
        <f t="shared" si="7"/>
        <v>0</v>
      </c>
      <c r="Q55" s="56">
        <f t="shared" si="18"/>
        <v>0</v>
      </c>
      <c r="R55" s="77">
        <f t="shared" si="19"/>
        <v>0</v>
      </c>
      <c r="S55" s="247" t="e">
        <f t="shared" si="8"/>
        <v>#DIV/0!</v>
      </c>
      <c r="T55" s="206" t="e">
        <f t="shared" si="3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1">
        <f>'summary sheet'!$E$2</f>
        <v>120</v>
      </c>
      <c r="J56" s="301">
        <f t="shared" si="4"/>
        <v>0</v>
      </c>
      <c r="K56" s="187">
        <v>0</v>
      </c>
      <c r="L56" s="187">
        <v>0</v>
      </c>
      <c r="M56" s="187">
        <v>0</v>
      </c>
      <c r="N56" s="54">
        <f t="shared" si="5"/>
        <v>0</v>
      </c>
      <c r="O56" s="55">
        <f t="shared" si="6"/>
        <v>0</v>
      </c>
      <c r="P56" s="55">
        <f t="shared" si="7"/>
        <v>0</v>
      </c>
      <c r="Q56" s="56">
        <f t="shared" si="18"/>
        <v>0</v>
      </c>
      <c r="R56" s="77">
        <f t="shared" si="19"/>
        <v>0</v>
      </c>
      <c r="S56" s="247" t="e">
        <f t="shared" si="8"/>
        <v>#DIV/0!</v>
      </c>
      <c r="T56" s="206" t="e">
        <f t="shared" si="3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1">
        <f>'summary sheet'!$E$2</f>
        <v>120</v>
      </c>
      <c r="J57" s="301">
        <f t="shared" si="4"/>
        <v>0</v>
      </c>
      <c r="K57" s="187">
        <v>0</v>
      </c>
      <c r="L57" s="187">
        <v>0</v>
      </c>
      <c r="M57" s="187">
        <v>0</v>
      </c>
      <c r="N57" s="54">
        <f t="shared" si="5"/>
        <v>0</v>
      </c>
      <c r="O57" s="55">
        <f t="shared" si="6"/>
        <v>0</v>
      </c>
      <c r="P57" s="55">
        <f t="shared" si="7"/>
        <v>0</v>
      </c>
      <c r="Q57" s="56">
        <f t="shared" si="18"/>
        <v>0</v>
      </c>
      <c r="R57" s="77">
        <f t="shared" si="19"/>
        <v>0</v>
      </c>
      <c r="S57" s="247" t="e">
        <f t="shared" si="8"/>
        <v>#DIV/0!</v>
      </c>
      <c r="T57" s="206" t="e">
        <f t="shared" si="3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1">
        <f>'summary sheet'!$E$2</f>
        <v>120</v>
      </c>
      <c r="J58" s="301">
        <f t="shared" si="4"/>
        <v>0</v>
      </c>
      <c r="K58" s="187">
        <v>0</v>
      </c>
      <c r="L58" s="187">
        <v>0</v>
      </c>
      <c r="M58" s="187">
        <v>0</v>
      </c>
      <c r="N58" s="54">
        <f t="shared" si="5"/>
        <v>0</v>
      </c>
      <c r="O58" s="55">
        <f t="shared" si="6"/>
        <v>0</v>
      </c>
      <c r="P58" s="55">
        <f t="shared" si="7"/>
        <v>0</v>
      </c>
      <c r="Q58" s="56">
        <f t="shared" si="18"/>
        <v>0</v>
      </c>
      <c r="R58" s="77">
        <f t="shared" si="19"/>
        <v>0</v>
      </c>
      <c r="S58" s="247" t="e">
        <f t="shared" si="8"/>
        <v>#DIV/0!</v>
      </c>
      <c r="T58" s="206" t="e">
        <f t="shared" si="3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38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39" t="s">
        <v>22</v>
      </c>
      <c r="B60" s="331"/>
      <c r="C60" s="331"/>
      <c r="D60" s="331"/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197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197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197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20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197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197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D67" s="169"/>
      <c r="I67" s="51"/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1">SUM(O67)*Q67</f>
        <v>0</v>
      </c>
      <c r="S67" s="211"/>
      <c r="T67" s="211"/>
    </row>
    <row r="68" spans="1:21" ht="21">
      <c r="D68" s="169"/>
      <c r="I68" s="51"/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1"/>
        <v>0</v>
      </c>
      <c r="S68" s="211"/>
      <c r="T68" s="211"/>
    </row>
    <row r="69" spans="1:21">
      <c r="D69" s="169"/>
      <c r="I69" s="51"/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1"/>
        <v>0</v>
      </c>
      <c r="S69" s="211"/>
      <c r="T69" s="211"/>
    </row>
    <row r="70" spans="1:21">
      <c r="D70" s="169"/>
      <c r="I70" s="51"/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D71" s="169"/>
      <c r="I71" s="51"/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I72" s="51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I73" s="51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I74" s="51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I75" s="51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I76" s="51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51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  <c r="H1" s="173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  <c r="H2" s="173"/>
    </row>
    <row r="3" spans="1:22" ht="14.4" customHeight="1">
      <c r="A3" s="110" t="str" cm="1">
        <f t="array" aca="1" ref="A3" ca="1">CONCATENATE("SCOPE: ",MID(CELL("filename",A1),FIND("]",CELL("filename",A1))+1,255))</f>
        <v>SCOPE: Est (9)</v>
      </c>
      <c r="B3" s="176"/>
      <c r="C3" s="110"/>
      <c r="D3" s="176"/>
      <c r="E3" s="110"/>
      <c r="F3" s="12"/>
      <c r="G3" s="173"/>
      <c r="H3" s="173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  <c r="H4" s="173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173"/>
      <c r="H5" s="173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174"/>
      <c r="H6" s="200"/>
      <c r="I6" s="297"/>
      <c r="J6" s="314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21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4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8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01">
        <f>SUM(I9*H9)*G9</f>
        <v>0</v>
      </c>
      <c r="K9" s="187">
        <v>0</v>
      </c>
      <c r="L9" s="187">
        <v>0</v>
      </c>
      <c r="M9" s="187">
        <v>0</v>
      </c>
      <c r="N9" s="54">
        <f>J9</f>
        <v>0</v>
      </c>
      <c r="O9" s="55">
        <f t="shared" ref="O9:O10" si="0">SUM(G9)*K9</f>
        <v>0</v>
      </c>
      <c r="P9" s="55">
        <f t="shared" ref="P9:P10" si="1">SUM(L9)</f>
        <v>0</v>
      </c>
      <c r="Q9" s="56">
        <f t="shared" ref="Q9:Q10" si="2">SUM(G9)*M9</f>
        <v>0</v>
      </c>
      <c r="R9" s="77">
        <f t="shared" ref="R9:R10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01">
        <f t="shared" ref="J10:J58" si="5">SUM(I10*H10)*G10</f>
        <v>0</v>
      </c>
      <c r="K10" s="187">
        <v>0</v>
      </c>
      <c r="L10" s="187">
        <v>0</v>
      </c>
      <c r="M10" s="187">
        <v>0</v>
      </c>
      <c r="N10" s="54">
        <f t="shared" ref="N10:N58" si="6">J10</f>
        <v>0</v>
      </c>
      <c r="O10" s="55">
        <f t="shared" si="0"/>
        <v>0</v>
      </c>
      <c r="P10" s="55">
        <f t="shared" si="1"/>
        <v>0</v>
      </c>
      <c r="Q10" s="56">
        <f t="shared" si="2"/>
        <v>0</v>
      </c>
      <c r="R10" s="77">
        <f t="shared" si="3"/>
        <v>0</v>
      </c>
      <c r="S10" s="247" t="e">
        <f t="shared" ref="S10:S58" si="7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01">
        <f t="shared" si="5"/>
        <v>0</v>
      </c>
      <c r="K11" s="187">
        <v>0</v>
      </c>
      <c r="L11" s="187">
        <v>0</v>
      </c>
      <c r="M11" s="187">
        <v>0</v>
      </c>
      <c r="N11" s="54">
        <f t="shared" si="6"/>
        <v>0</v>
      </c>
      <c r="O11" s="55">
        <f>SUM(G11)*K11</f>
        <v>0</v>
      </c>
      <c r="P11" s="55">
        <f>SUM(L11)</f>
        <v>0</v>
      </c>
      <c r="Q11" s="56">
        <f>SUM(G11)*M11</f>
        <v>0</v>
      </c>
      <c r="R11" s="77">
        <f>SUM(N11:Q11)</f>
        <v>0</v>
      </c>
      <c r="S11" s="247" t="e">
        <f t="shared" si="7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1">
        <f>'summary sheet'!$E$2</f>
        <v>120</v>
      </c>
      <c r="J12" s="301">
        <f t="shared" si="5"/>
        <v>0</v>
      </c>
      <c r="K12" s="187">
        <v>0</v>
      </c>
      <c r="L12" s="187">
        <v>0</v>
      </c>
      <c r="M12" s="187">
        <v>0</v>
      </c>
      <c r="N12" s="54">
        <f t="shared" si="6"/>
        <v>0</v>
      </c>
      <c r="O12" s="55">
        <f t="shared" ref="O12:O58" si="8">SUM(G12)*K12</f>
        <v>0</v>
      </c>
      <c r="P12" s="55">
        <f t="shared" ref="P12:P58" si="9">SUM(L12)</f>
        <v>0</v>
      </c>
      <c r="Q12" s="56">
        <f t="shared" ref="Q12:Q58" si="10">SUM(G12)*M12</f>
        <v>0</v>
      </c>
      <c r="R12" s="77">
        <f t="shared" ref="R12:R58" si="11">SUM(N12:Q12)</f>
        <v>0</v>
      </c>
      <c r="S12" s="247" t="e">
        <f t="shared" si="7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1">
        <f>'summary sheet'!$E$2</f>
        <v>120</v>
      </c>
      <c r="J13" s="301">
        <f t="shared" si="5"/>
        <v>0</v>
      </c>
      <c r="K13" s="187">
        <v>0</v>
      </c>
      <c r="L13" s="187">
        <v>0</v>
      </c>
      <c r="M13" s="187">
        <v>0</v>
      </c>
      <c r="N13" s="54">
        <f t="shared" si="6"/>
        <v>0</v>
      </c>
      <c r="O13" s="55">
        <f t="shared" si="8"/>
        <v>0</v>
      </c>
      <c r="P13" s="55">
        <f t="shared" si="9"/>
        <v>0</v>
      </c>
      <c r="Q13" s="56">
        <f t="shared" si="10"/>
        <v>0</v>
      </c>
      <c r="R13" s="77">
        <f t="shared" si="11"/>
        <v>0</v>
      </c>
      <c r="S13" s="247" t="e">
        <f t="shared" si="7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1">
        <f>'summary sheet'!$E$2</f>
        <v>120</v>
      </c>
      <c r="J14" s="301">
        <f t="shared" si="5"/>
        <v>0</v>
      </c>
      <c r="K14" s="187">
        <v>0</v>
      </c>
      <c r="L14" s="187">
        <v>0</v>
      </c>
      <c r="M14" s="187">
        <v>0</v>
      </c>
      <c r="N14" s="54">
        <f t="shared" si="6"/>
        <v>0</v>
      </c>
      <c r="O14" s="55">
        <f t="shared" si="8"/>
        <v>0</v>
      </c>
      <c r="P14" s="55">
        <f t="shared" si="9"/>
        <v>0</v>
      </c>
      <c r="Q14" s="56">
        <f t="shared" si="10"/>
        <v>0</v>
      </c>
      <c r="R14" s="77">
        <f t="shared" si="11"/>
        <v>0</v>
      </c>
      <c r="S14" s="247" t="e">
        <f t="shared" si="7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1">
        <f>'summary sheet'!$E$2</f>
        <v>120</v>
      </c>
      <c r="J15" s="301">
        <f t="shared" si="5"/>
        <v>0</v>
      </c>
      <c r="K15" s="187">
        <v>0</v>
      </c>
      <c r="L15" s="187">
        <v>0</v>
      </c>
      <c r="M15" s="187">
        <v>0</v>
      </c>
      <c r="N15" s="54">
        <f t="shared" si="6"/>
        <v>0</v>
      </c>
      <c r="O15" s="55">
        <f t="shared" si="8"/>
        <v>0</v>
      </c>
      <c r="P15" s="55">
        <f t="shared" si="9"/>
        <v>0</v>
      </c>
      <c r="Q15" s="56">
        <f t="shared" si="10"/>
        <v>0</v>
      </c>
      <c r="R15" s="77">
        <f t="shared" si="11"/>
        <v>0</v>
      </c>
      <c r="S15" s="247" t="e">
        <f t="shared" si="7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2">
        <f>'summary sheet'!$E$2</f>
        <v>120</v>
      </c>
      <c r="J16" s="301">
        <f t="shared" si="5"/>
        <v>0</v>
      </c>
      <c r="K16" s="187">
        <v>0</v>
      </c>
      <c r="L16" s="187">
        <v>0</v>
      </c>
      <c r="M16" s="187">
        <v>0</v>
      </c>
      <c r="N16" s="54">
        <f t="shared" si="6"/>
        <v>0</v>
      </c>
      <c r="O16" s="55">
        <f t="shared" ref="O16:O45" si="12">SUM(G16)*K16</f>
        <v>0</v>
      </c>
      <c r="P16" s="55">
        <f t="shared" ref="P16:P45" si="13">SUM(L16)</f>
        <v>0</v>
      </c>
      <c r="Q16" s="56">
        <f t="shared" ref="Q16:Q22" si="14">SUM(G16)*M16</f>
        <v>0</v>
      </c>
      <c r="R16" s="77">
        <f t="shared" si="11"/>
        <v>0</v>
      </c>
      <c r="S16" s="247" t="e">
        <f t="shared" si="7"/>
        <v>#DIV/0!</v>
      </c>
      <c r="T16" s="206" t="e">
        <f t="shared" si="4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2">
        <f>'summary sheet'!$E$2</f>
        <v>120</v>
      </c>
      <c r="J17" s="301">
        <f t="shared" si="5"/>
        <v>0</v>
      </c>
      <c r="K17" s="187">
        <v>0</v>
      </c>
      <c r="L17" s="187">
        <v>0</v>
      </c>
      <c r="M17" s="187">
        <v>0</v>
      </c>
      <c r="N17" s="54">
        <f t="shared" si="6"/>
        <v>0</v>
      </c>
      <c r="O17" s="55">
        <f t="shared" si="12"/>
        <v>0</v>
      </c>
      <c r="P17" s="55">
        <f t="shared" si="13"/>
        <v>0</v>
      </c>
      <c r="Q17" s="56">
        <f t="shared" si="14"/>
        <v>0</v>
      </c>
      <c r="R17" s="77">
        <f t="shared" si="11"/>
        <v>0</v>
      </c>
      <c r="S17" s="247" t="e">
        <f t="shared" si="7"/>
        <v>#DIV/0!</v>
      </c>
      <c r="T17" s="206" t="e">
        <f t="shared" si="4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2">
        <f>'summary sheet'!$E$2</f>
        <v>120</v>
      </c>
      <c r="J18" s="301">
        <f t="shared" si="5"/>
        <v>0</v>
      </c>
      <c r="K18" s="187">
        <v>0</v>
      </c>
      <c r="L18" s="187">
        <v>0</v>
      </c>
      <c r="M18" s="187">
        <v>0</v>
      </c>
      <c r="N18" s="54">
        <f t="shared" si="6"/>
        <v>0</v>
      </c>
      <c r="O18" s="55">
        <f t="shared" si="12"/>
        <v>0</v>
      </c>
      <c r="P18" s="55">
        <f t="shared" si="13"/>
        <v>0</v>
      </c>
      <c r="Q18" s="56">
        <f t="shared" si="14"/>
        <v>0</v>
      </c>
      <c r="R18" s="77">
        <f t="shared" si="11"/>
        <v>0</v>
      </c>
      <c r="S18" s="247" t="e">
        <f t="shared" si="7"/>
        <v>#DIV/0!</v>
      </c>
      <c r="T18" s="206" t="e">
        <f t="shared" si="4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2">
        <f>'summary sheet'!$E$2</f>
        <v>120</v>
      </c>
      <c r="J19" s="301">
        <f t="shared" si="5"/>
        <v>0</v>
      </c>
      <c r="K19" s="187">
        <v>0</v>
      </c>
      <c r="L19" s="187">
        <v>0</v>
      </c>
      <c r="M19" s="187">
        <v>0</v>
      </c>
      <c r="N19" s="54">
        <f t="shared" si="6"/>
        <v>0</v>
      </c>
      <c r="O19" s="55">
        <f t="shared" si="12"/>
        <v>0</v>
      </c>
      <c r="P19" s="55">
        <f t="shared" si="13"/>
        <v>0</v>
      </c>
      <c r="Q19" s="56">
        <f t="shared" si="14"/>
        <v>0</v>
      </c>
      <c r="R19" s="77">
        <f t="shared" si="11"/>
        <v>0</v>
      </c>
      <c r="S19" s="247" t="e">
        <f t="shared" si="7"/>
        <v>#DIV/0!</v>
      </c>
      <c r="T19" s="206" t="e">
        <f t="shared" si="4"/>
        <v>#DIV/0!</v>
      </c>
      <c r="U19" s="89"/>
    </row>
    <row r="20" spans="1:22">
      <c r="A20" s="226">
        <v>12</v>
      </c>
      <c r="B20" s="178"/>
      <c r="C20" s="112"/>
      <c r="D20" s="178"/>
      <c r="E20" s="112"/>
      <c r="F20" s="112"/>
      <c r="G20" s="171"/>
      <c r="H20" s="225"/>
      <c r="I20" s="302">
        <f>'summary sheet'!$E$2</f>
        <v>120</v>
      </c>
      <c r="J20" s="301">
        <f t="shared" si="5"/>
        <v>0</v>
      </c>
      <c r="K20" s="187">
        <v>0</v>
      </c>
      <c r="L20" s="187">
        <v>0</v>
      </c>
      <c r="M20" s="187">
        <v>0</v>
      </c>
      <c r="N20" s="54">
        <f t="shared" si="6"/>
        <v>0</v>
      </c>
      <c r="O20" s="55">
        <f t="shared" si="12"/>
        <v>0</v>
      </c>
      <c r="P20" s="55">
        <f t="shared" si="13"/>
        <v>0</v>
      </c>
      <c r="Q20" s="56">
        <f t="shared" si="14"/>
        <v>0</v>
      </c>
      <c r="R20" s="77">
        <f t="shared" si="11"/>
        <v>0</v>
      </c>
      <c r="S20" s="247" t="e">
        <f t="shared" si="7"/>
        <v>#DIV/0!</v>
      </c>
      <c r="T20" s="206" t="e">
        <f t="shared" si="4"/>
        <v>#DIV/0!</v>
      </c>
      <c r="U20" s="89"/>
    </row>
    <row r="21" spans="1:22">
      <c r="A21" s="226">
        <v>13</v>
      </c>
      <c r="B21" s="178"/>
      <c r="C21" s="112"/>
      <c r="D21" s="178"/>
      <c r="E21" s="112"/>
      <c r="F21" s="112"/>
      <c r="G21" s="171"/>
      <c r="H21" s="225"/>
      <c r="I21" s="302">
        <f>'summary sheet'!$E$2</f>
        <v>120</v>
      </c>
      <c r="J21" s="301">
        <f t="shared" si="5"/>
        <v>0</v>
      </c>
      <c r="K21" s="187">
        <v>0</v>
      </c>
      <c r="L21" s="187">
        <v>0</v>
      </c>
      <c r="M21" s="187">
        <v>0</v>
      </c>
      <c r="N21" s="54">
        <f t="shared" si="6"/>
        <v>0</v>
      </c>
      <c r="O21" s="55">
        <f t="shared" si="12"/>
        <v>0</v>
      </c>
      <c r="P21" s="55">
        <f t="shared" si="13"/>
        <v>0</v>
      </c>
      <c r="Q21" s="56">
        <f t="shared" si="14"/>
        <v>0</v>
      </c>
      <c r="R21" s="77">
        <f t="shared" si="11"/>
        <v>0</v>
      </c>
      <c r="S21" s="247" t="e">
        <f t="shared" si="7"/>
        <v>#DIV/0!</v>
      </c>
      <c r="T21" s="206" t="e">
        <f t="shared" si="4"/>
        <v>#DIV/0!</v>
      </c>
      <c r="U21" s="89"/>
    </row>
    <row r="22" spans="1:22">
      <c r="A22" s="226">
        <v>14</v>
      </c>
      <c r="B22" s="178"/>
      <c r="C22" s="112"/>
      <c r="D22" s="178"/>
      <c r="E22" s="112"/>
      <c r="F22" s="112"/>
      <c r="G22" s="171"/>
      <c r="H22" s="225"/>
      <c r="I22" s="302">
        <f>'summary sheet'!$E$2</f>
        <v>120</v>
      </c>
      <c r="J22" s="301">
        <f t="shared" si="5"/>
        <v>0</v>
      </c>
      <c r="K22" s="187">
        <v>0</v>
      </c>
      <c r="L22" s="187">
        <v>0</v>
      </c>
      <c r="M22" s="187">
        <v>0</v>
      </c>
      <c r="N22" s="54">
        <f t="shared" si="6"/>
        <v>0</v>
      </c>
      <c r="O22" s="55">
        <f t="shared" si="12"/>
        <v>0</v>
      </c>
      <c r="P22" s="55">
        <f t="shared" si="13"/>
        <v>0</v>
      </c>
      <c r="Q22" s="56">
        <f t="shared" si="14"/>
        <v>0</v>
      </c>
      <c r="R22" s="77">
        <f t="shared" si="11"/>
        <v>0</v>
      </c>
      <c r="S22" s="247" t="e">
        <f t="shared" si="7"/>
        <v>#DIV/0!</v>
      </c>
      <c r="T22" s="206" t="e">
        <f t="shared" si="4"/>
        <v>#DIV/0!</v>
      </c>
      <c r="U22" s="89"/>
    </row>
    <row r="23" spans="1:22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2">
        <f>'summary sheet'!$E$2</f>
        <v>120</v>
      </c>
      <c r="J23" s="315">
        <f t="shared" ref="J23" si="15">SUM(H23*I23)*G23</f>
        <v>0</v>
      </c>
      <c r="K23" s="118">
        <v>0</v>
      </c>
      <c r="L23" s="118">
        <v>0</v>
      </c>
      <c r="M23" s="119">
        <v>0</v>
      </c>
      <c r="N23" s="54">
        <f t="shared" si="6"/>
        <v>0</v>
      </c>
      <c r="O23" s="55">
        <f t="shared" si="12"/>
        <v>0</v>
      </c>
      <c r="P23" s="55">
        <f t="shared" si="13"/>
        <v>0</v>
      </c>
      <c r="Q23" s="56">
        <f t="shared" ref="Q23" si="16">M23</f>
        <v>0</v>
      </c>
      <c r="R23" s="77">
        <f t="shared" si="11"/>
        <v>0</v>
      </c>
      <c r="S23" s="247" t="e">
        <f t="shared" si="7"/>
        <v>#DIV/0!</v>
      </c>
      <c r="T23" s="206" t="e">
        <f t="shared" si="4"/>
        <v>#DIV/0!</v>
      </c>
      <c r="U23" s="89"/>
    </row>
    <row r="24" spans="1:22" ht="12.75" hidden="1" customHeight="1">
      <c r="A24" s="226">
        <v>16</v>
      </c>
      <c r="B24" s="178"/>
      <c r="C24" s="112"/>
      <c r="D24" s="178"/>
      <c r="E24" s="112"/>
      <c r="F24" s="112"/>
      <c r="G24" s="171"/>
      <c r="H24" s="225"/>
      <c r="I24" s="302">
        <f>'summary sheet'!$E$2</f>
        <v>120</v>
      </c>
      <c r="J24" s="315">
        <f>SUM(H24*I24)*G24</f>
        <v>0</v>
      </c>
      <c r="K24" s="118">
        <v>0</v>
      </c>
      <c r="L24" s="118">
        <v>0</v>
      </c>
      <c r="M24" s="119">
        <v>0</v>
      </c>
      <c r="N24" s="54">
        <f>J24</f>
        <v>0</v>
      </c>
      <c r="O24" s="55">
        <f t="shared" si="12"/>
        <v>0</v>
      </c>
      <c r="P24" s="55">
        <f t="shared" si="13"/>
        <v>0</v>
      </c>
      <c r="Q24" s="56">
        <f>M24</f>
        <v>0</v>
      </c>
      <c r="R24" s="77">
        <f t="shared" si="11"/>
        <v>0</v>
      </c>
      <c r="S24" s="247" t="e">
        <f t="shared" si="7"/>
        <v>#DIV/0!</v>
      </c>
      <c r="T24" s="206" t="e">
        <f t="shared" si="4"/>
        <v>#DIV/0!</v>
      </c>
      <c r="U24" s="88"/>
      <c r="V24" s="51"/>
    </row>
    <row r="25" spans="1:22" hidden="1">
      <c r="A25" s="226">
        <v>17</v>
      </c>
      <c r="B25" s="178"/>
      <c r="C25" s="112"/>
      <c r="D25" s="178"/>
      <c r="E25" s="112"/>
      <c r="F25" s="112"/>
      <c r="G25" s="171"/>
      <c r="H25" s="225"/>
      <c r="I25" s="302">
        <f>'summary sheet'!$E$2</f>
        <v>120</v>
      </c>
      <c r="J25" s="315">
        <f>SUM(H25*I25)*G25</f>
        <v>0</v>
      </c>
      <c r="K25" s="118">
        <v>0</v>
      </c>
      <c r="L25" s="118">
        <v>0</v>
      </c>
      <c r="M25" s="119">
        <v>0</v>
      </c>
      <c r="N25" s="54">
        <f t="shared" ref="N25:N45" si="17">J25</f>
        <v>0</v>
      </c>
      <c r="O25" s="55">
        <f t="shared" si="12"/>
        <v>0</v>
      </c>
      <c r="P25" s="55">
        <f t="shared" si="13"/>
        <v>0</v>
      </c>
      <c r="Q25" s="56">
        <f t="shared" ref="Q25:Q45" si="18">M25</f>
        <v>0</v>
      </c>
      <c r="R25" s="77">
        <f t="shared" si="11"/>
        <v>0</v>
      </c>
      <c r="S25" s="247" t="e">
        <f t="shared" si="7"/>
        <v>#DIV/0!</v>
      </c>
      <c r="T25" s="206" t="e">
        <f t="shared" si="4"/>
        <v>#DIV/0!</v>
      </c>
      <c r="U25" s="89"/>
      <c r="V25" s="51"/>
    </row>
    <row r="26" spans="1:22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15">
        <f t="shared" ref="J26:J45" si="19">SUM(H26*I26)*G26</f>
        <v>0</v>
      </c>
      <c r="K26" s="118">
        <v>0</v>
      </c>
      <c r="L26" s="118">
        <v>0</v>
      </c>
      <c r="M26" s="119">
        <v>0</v>
      </c>
      <c r="N26" s="54">
        <f t="shared" si="17"/>
        <v>0</v>
      </c>
      <c r="O26" s="55">
        <f t="shared" si="12"/>
        <v>0</v>
      </c>
      <c r="P26" s="55">
        <f t="shared" si="13"/>
        <v>0</v>
      </c>
      <c r="Q26" s="56">
        <f t="shared" si="18"/>
        <v>0</v>
      </c>
      <c r="R26" s="77">
        <f t="shared" si="11"/>
        <v>0</v>
      </c>
      <c r="S26" s="247" t="e">
        <f t="shared" si="7"/>
        <v>#DIV/0!</v>
      </c>
      <c r="T26" s="206" t="e">
        <f t="shared" si="4"/>
        <v>#DIV/0!</v>
      </c>
      <c r="U26" s="89"/>
    </row>
    <row r="27" spans="1:22" ht="13.2" hidden="1" customHeight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15">
        <f t="shared" si="19"/>
        <v>0</v>
      </c>
      <c r="K27" s="118">
        <v>0</v>
      </c>
      <c r="L27" s="118">
        <v>0</v>
      </c>
      <c r="M27" s="119">
        <v>0</v>
      </c>
      <c r="N27" s="54">
        <f t="shared" si="17"/>
        <v>0</v>
      </c>
      <c r="O27" s="55">
        <f t="shared" si="12"/>
        <v>0</v>
      </c>
      <c r="P27" s="55">
        <f t="shared" si="13"/>
        <v>0</v>
      </c>
      <c r="Q27" s="56">
        <f t="shared" si="18"/>
        <v>0</v>
      </c>
      <c r="R27" s="77">
        <f t="shared" si="11"/>
        <v>0</v>
      </c>
      <c r="S27" s="247" t="e">
        <f t="shared" si="7"/>
        <v>#DIV/0!</v>
      </c>
      <c r="T27" s="206" t="e">
        <f t="shared" si="4"/>
        <v>#DIV/0!</v>
      </c>
      <c r="U27" s="89"/>
    </row>
    <row r="28" spans="1:22" ht="13.2" hidden="1" customHeight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15">
        <f t="shared" si="19"/>
        <v>0</v>
      </c>
      <c r="K28" s="118">
        <v>0</v>
      </c>
      <c r="L28" s="118">
        <v>0</v>
      </c>
      <c r="M28" s="119">
        <v>0</v>
      </c>
      <c r="N28" s="54">
        <f t="shared" si="17"/>
        <v>0</v>
      </c>
      <c r="O28" s="55">
        <f t="shared" si="12"/>
        <v>0</v>
      </c>
      <c r="P28" s="55">
        <f t="shared" si="13"/>
        <v>0</v>
      </c>
      <c r="Q28" s="56">
        <f t="shared" si="18"/>
        <v>0</v>
      </c>
      <c r="R28" s="77">
        <f t="shared" si="11"/>
        <v>0</v>
      </c>
      <c r="S28" s="247" t="e">
        <f t="shared" si="7"/>
        <v>#DIV/0!</v>
      </c>
      <c r="T28" s="206" t="e">
        <f t="shared" si="4"/>
        <v>#DIV/0!</v>
      </c>
      <c r="U28" s="89"/>
    </row>
    <row r="29" spans="1:22" ht="13.2" hidden="1" customHeight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15">
        <f t="shared" si="19"/>
        <v>0</v>
      </c>
      <c r="K29" s="118">
        <v>0</v>
      </c>
      <c r="L29" s="118">
        <v>0</v>
      </c>
      <c r="M29" s="119">
        <v>0</v>
      </c>
      <c r="N29" s="54">
        <f t="shared" si="17"/>
        <v>0</v>
      </c>
      <c r="O29" s="55">
        <f t="shared" si="12"/>
        <v>0</v>
      </c>
      <c r="P29" s="55">
        <f t="shared" si="13"/>
        <v>0</v>
      </c>
      <c r="Q29" s="56">
        <f t="shared" si="18"/>
        <v>0</v>
      </c>
      <c r="R29" s="77">
        <f t="shared" si="11"/>
        <v>0</v>
      </c>
      <c r="S29" s="247" t="e">
        <f t="shared" si="7"/>
        <v>#DIV/0!</v>
      </c>
      <c r="T29" s="206" t="e">
        <f t="shared" si="4"/>
        <v>#DIV/0!</v>
      </c>
      <c r="U29" s="89"/>
    </row>
    <row r="30" spans="1:22" ht="13.2" hidden="1" customHeight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15">
        <f t="shared" si="19"/>
        <v>0</v>
      </c>
      <c r="K30" s="118">
        <v>0</v>
      </c>
      <c r="L30" s="118">
        <v>0</v>
      </c>
      <c r="M30" s="119">
        <v>0</v>
      </c>
      <c r="N30" s="54">
        <f t="shared" si="17"/>
        <v>0</v>
      </c>
      <c r="O30" s="55">
        <f t="shared" si="12"/>
        <v>0</v>
      </c>
      <c r="P30" s="55">
        <f t="shared" si="13"/>
        <v>0</v>
      </c>
      <c r="Q30" s="56">
        <f t="shared" si="18"/>
        <v>0</v>
      </c>
      <c r="R30" s="77">
        <f t="shared" si="11"/>
        <v>0</v>
      </c>
      <c r="S30" s="247" t="e">
        <f t="shared" si="7"/>
        <v>#DIV/0!</v>
      </c>
      <c r="T30" s="206" t="e">
        <f t="shared" si="4"/>
        <v>#DIV/0!</v>
      </c>
      <c r="U30" s="89"/>
    </row>
    <row r="31" spans="1:22" hidden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15">
        <f t="shared" si="19"/>
        <v>0</v>
      </c>
      <c r="K31" s="118">
        <v>0</v>
      </c>
      <c r="L31" s="118">
        <v>0</v>
      </c>
      <c r="M31" s="119">
        <v>0</v>
      </c>
      <c r="N31" s="54">
        <f t="shared" si="17"/>
        <v>0</v>
      </c>
      <c r="O31" s="55">
        <f t="shared" si="12"/>
        <v>0</v>
      </c>
      <c r="P31" s="55">
        <f t="shared" si="13"/>
        <v>0</v>
      </c>
      <c r="Q31" s="56">
        <f t="shared" si="18"/>
        <v>0</v>
      </c>
      <c r="R31" s="77">
        <f t="shared" si="11"/>
        <v>0</v>
      </c>
      <c r="S31" s="247" t="e">
        <f t="shared" si="7"/>
        <v>#DIV/0!</v>
      </c>
      <c r="T31" s="206" t="e">
        <f t="shared" si="4"/>
        <v>#DIV/0!</v>
      </c>
      <c r="U31" s="89"/>
    </row>
    <row r="32" spans="1:22" hidden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15">
        <f t="shared" si="19"/>
        <v>0</v>
      </c>
      <c r="K32" s="118">
        <v>0</v>
      </c>
      <c r="L32" s="118">
        <v>0</v>
      </c>
      <c r="M32" s="119">
        <v>0</v>
      </c>
      <c r="N32" s="54">
        <f t="shared" si="17"/>
        <v>0</v>
      </c>
      <c r="O32" s="55">
        <f t="shared" si="12"/>
        <v>0</v>
      </c>
      <c r="P32" s="55">
        <f t="shared" si="13"/>
        <v>0</v>
      </c>
      <c r="Q32" s="56">
        <f t="shared" si="18"/>
        <v>0</v>
      </c>
      <c r="R32" s="77">
        <f t="shared" si="11"/>
        <v>0</v>
      </c>
      <c r="S32" s="247" t="e">
        <f t="shared" si="7"/>
        <v>#DIV/0!</v>
      </c>
      <c r="T32" s="206" t="e">
        <f t="shared" si="4"/>
        <v>#DIV/0!</v>
      </c>
      <c r="U32" s="89"/>
    </row>
    <row r="33" spans="1:21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si="19"/>
        <v>0</v>
      </c>
      <c r="K33" s="118">
        <v>0</v>
      </c>
      <c r="L33" s="118">
        <v>0</v>
      </c>
      <c r="M33" s="119">
        <v>0</v>
      </c>
      <c r="N33" s="54">
        <f t="shared" si="17"/>
        <v>0</v>
      </c>
      <c r="O33" s="55">
        <f t="shared" si="12"/>
        <v>0</v>
      </c>
      <c r="P33" s="55">
        <f t="shared" si="13"/>
        <v>0</v>
      </c>
      <c r="Q33" s="56">
        <f t="shared" si="18"/>
        <v>0</v>
      </c>
      <c r="R33" s="77">
        <f t="shared" si="11"/>
        <v>0</v>
      </c>
      <c r="S33" s="247" t="e">
        <f t="shared" si="7"/>
        <v>#DIV/0!</v>
      </c>
      <c r="T33" s="206" t="e">
        <f t="shared" si="4"/>
        <v>#DIV/0!</v>
      </c>
      <c r="U33" s="89"/>
    </row>
    <row r="34" spans="1:21" hidden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 t="shared" si="19"/>
        <v>0</v>
      </c>
      <c r="K34" s="118">
        <v>0</v>
      </c>
      <c r="L34" s="118">
        <v>0</v>
      </c>
      <c r="M34" s="119">
        <v>0</v>
      </c>
      <c r="N34" s="54">
        <f t="shared" si="17"/>
        <v>0</v>
      </c>
      <c r="O34" s="55">
        <f t="shared" si="12"/>
        <v>0</v>
      </c>
      <c r="P34" s="55">
        <f t="shared" si="13"/>
        <v>0</v>
      </c>
      <c r="Q34" s="56">
        <f t="shared" si="18"/>
        <v>0</v>
      </c>
      <c r="R34" s="77">
        <f t="shared" si="11"/>
        <v>0</v>
      </c>
      <c r="S34" s="247" t="e">
        <f t="shared" si="7"/>
        <v>#DIV/0!</v>
      </c>
      <c r="T34" s="206" t="e">
        <f t="shared" si="4"/>
        <v>#DIV/0!</v>
      </c>
      <c r="U34" s="89"/>
    </row>
    <row r="35" spans="1:21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 t="shared" si="19"/>
        <v>0</v>
      </c>
      <c r="K35" s="118">
        <v>0</v>
      </c>
      <c r="L35" s="118">
        <v>0</v>
      </c>
      <c r="M35" s="119">
        <v>0</v>
      </c>
      <c r="N35" s="54">
        <f t="shared" si="17"/>
        <v>0</v>
      </c>
      <c r="O35" s="55">
        <f t="shared" si="12"/>
        <v>0</v>
      </c>
      <c r="P35" s="55">
        <f t="shared" si="13"/>
        <v>0</v>
      </c>
      <c r="Q35" s="56">
        <f t="shared" si="18"/>
        <v>0</v>
      </c>
      <c r="R35" s="77">
        <f t="shared" si="11"/>
        <v>0</v>
      </c>
      <c r="S35" s="247" t="e">
        <f t="shared" si="7"/>
        <v>#DIV/0!</v>
      </c>
      <c r="T35" s="206" t="e">
        <f t="shared" si="4"/>
        <v>#DIV/0!</v>
      </c>
      <c r="U35" s="89"/>
    </row>
    <row r="36" spans="1:21" ht="13.2" hidden="1" customHeight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si="19"/>
        <v>0</v>
      </c>
      <c r="K36" s="118">
        <v>0</v>
      </c>
      <c r="L36" s="118">
        <v>0</v>
      </c>
      <c r="M36" s="119">
        <v>0</v>
      </c>
      <c r="N36" s="54">
        <f t="shared" si="17"/>
        <v>0</v>
      </c>
      <c r="O36" s="55">
        <f t="shared" si="12"/>
        <v>0</v>
      </c>
      <c r="P36" s="55">
        <f t="shared" si="13"/>
        <v>0</v>
      </c>
      <c r="Q36" s="56">
        <f t="shared" si="18"/>
        <v>0</v>
      </c>
      <c r="R36" s="77">
        <f t="shared" si="11"/>
        <v>0</v>
      </c>
      <c r="S36" s="247" t="e">
        <f t="shared" si="7"/>
        <v>#DIV/0!</v>
      </c>
      <c r="T36" s="206" t="e">
        <f t="shared" si="4"/>
        <v>#DIV/0!</v>
      </c>
      <c r="U36" s="89"/>
    </row>
    <row r="37" spans="1:21" ht="13.2" hidden="1" customHeight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9"/>
        <v>0</v>
      </c>
      <c r="K37" s="118">
        <v>0</v>
      </c>
      <c r="L37" s="118">
        <v>0</v>
      </c>
      <c r="M37" s="119">
        <v>0</v>
      </c>
      <c r="N37" s="54">
        <f t="shared" si="17"/>
        <v>0</v>
      </c>
      <c r="O37" s="55">
        <f t="shared" si="12"/>
        <v>0</v>
      </c>
      <c r="P37" s="55">
        <f t="shared" si="13"/>
        <v>0</v>
      </c>
      <c r="Q37" s="56">
        <f t="shared" si="18"/>
        <v>0</v>
      </c>
      <c r="R37" s="77">
        <f t="shared" si="11"/>
        <v>0</v>
      </c>
      <c r="S37" s="247" t="e">
        <f t="shared" si="7"/>
        <v>#DIV/0!</v>
      </c>
      <c r="T37" s="206" t="e">
        <f t="shared" si="4"/>
        <v>#DIV/0!</v>
      </c>
      <c r="U37" s="89"/>
    </row>
    <row r="38" spans="1:21" ht="13.2" hidden="1" customHeight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9"/>
        <v>0</v>
      </c>
      <c r="K38" s="118">
        <v>0</v>
      </c>
      <c r="L38" s="118">
        <v>0</v>
      </c>
      <c r="M38" s="119">
        <v>0</v>
      </c>
      <c r="N38" s="54">
        <f t="shared" si="17"/>
        <v>0</v>
      </c>
      <c r="O38" s="55">
        <f t="shared" si="12"/>
        <v>0</v>
      </c>
      <c r="P38" s="55">
        <f t="shared" si="13"/>
        <v>0</v>
      </c>
      <c r="Q38" s="56">
        <f t="shared" si="18"/>
        <v>0</v>
      </c>
      <c r="R38" s="77">
        <f t="shared" si="11"/>
        <v>0</v>
      </c>
      <c r="S38" s="247" t="e">
        <f t="shared" si="7"/>
        <v>#DIV/0!</v>
      </c>
      <c r="T38" s="206" t="e">
        <f t="shared" si="4"/>
        <v>#DIV/0!</v>
      </c>
      <c r="U38" s="89"/>
    </row>
    <row r="39" spans="1:21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9"/>
        <v>0</v>
      </c>
      <c r="K39" s="118">
        <v>0</v>
      </c>
      <c r="L39" s="118">
        <v>0</v>
      </c>
      <c r="M39" s="119">
        <v>0</v>
      </c>
      <c r="N39" s="54">
        <f t="shared" si="17"/>
        <v>0</v>
      </c>
      <c r="O39" s="55">
        <f t="shared" si="12"/>
        <v>0</v>
      </c>
      <c r="P39" s="55">
        <f t="shared" si="13"/>
        <v>0</v>
      </c>
      <c r="Q39" s="56">
        <f t="shared" si="18"/>
        <v>0</v>
      </c>
      <c r="R39" s="77">
        <f t="shared" si="11"/>
        <v>0</v>
      </c>
      <c r="S39" s="247" t="e">
        <f t="shared" si="7"/>
        <v>#DIV/0!</v>
      </c>
      <c r="T39" s="206" t="e">
        <f t="shared" si="4"/>
        <v>#DIV/0!</v>
      </c>
      <c r="U39" s="89"/>
    </row>
    <row r="40" spans="1:21" hidden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9"/>
        <v>0</v>
      </c>
      <c r="K40" s="118">
        <v>0</v>
      </c>
      <c r="L40" s="118">
        <v>0</v>
      </c>
      <c r="M40" s="119">
        <v>0</v>
      </c>
      <c r="N40" s="54">
        <f t="shared" si="17"/>
        <v>0</v>
      </c>
      <c r="O40" s="55">
        <f t="shared" si="12"/>
        <v>0</v>
      </c>
      <c r="P40" s="55">
        <f t="shared" si="13"/>
        <v>0</v>
      </c>
      <c r="Q40" s="56">
        <f t="shared" si="18"/>
        <v>0</v>
      </c>
      <c r="R40" s="77">
        <f t="shared" si="11"/>
        <v>0</v>
      </c>
      <c r="S40" s="247" t="e">
        <f t="shared" si="7"/>
        <v>#DIV/0!</v>
      </c>
      <c r="T40" s="206" t="e">
        <f t="shared" si="4"/>
        <v>#DIV/0!</v>
      </c>
      <c r="U40" s="89"/>
    </row>
    <row r="41" spans="1:21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9"/>
        <v>0</v>
      </c>
      <c r="K41" s="118">
        <v>0</v>
      </c>
      <c r="L41" s="118">
        <v>0</v>
      </c>
      <c r="M41" s="119">
        <v>0</v>
      </c>
      <c r="N41" s="54">
        <f t="shared" si="17"/>
        <v>0</v>
      </c>
      <c r="O41" s="55">
        <f t="shared" si="12"/>
        <v>0</v>
      </c>
      <c r="P41" s="55">
        <f t="shared" si="13"/>
        <v>0</v>
      </c>
      <c r="Q41" s="56">
        <f t="shared" si="18"/>
        <v>0</v>
      </c>
      <c r="R41" s="77">
        <f t="shared" si="11"/>
        <v>0</v>
      </c>
      <c r="S41" s="247" t="e">
        <f t="shared" si="7"/>
        <v>#DIV/0!</v>
      </c>
      <c r="T41" s="206" t="e">
        <f t="shared" si="4"/>
        <v>#DIV/0!</v>
      </c>
      <c r="U41" s="89"/>
    </row>
    <row r="42" spans="1:21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9"/>
        <v>0</v>
      </c>
      <c r="K42" s="118">
        <v>0</v>
      </c>
      <c r="L42" s="118">
        <v>0</v>
      </c>
      <c r="M42" s="119">
        <v>0</v>
      </c>
      <c r="N42" s="54">
        <f t="shared" si="17"/>
        <v>0</v>
      </c>
      <c r="O42" s="55">
        <f t="shared" si="12"/>
        <v>0</v>
      </c>
      <c r="P42" s="55">
        <f t="shared" si="13"/>
        <v>0</v>
      </c>
      <c r="Q42" s="56">
        <f t="shared" si="18"/>
        <v>0</v>
      </c>
      <c r="R42" s="77">
        <f t="shared" si="11"/>
        <v>0</v>
      </c>
      <c r="S42" s="247" t="e">
        <f t="shared" si="7"/>
        <v>#DIV/0!</v>
      </c>
      <c r="T42" s="206" t="e">
        <f t="shared" si="4"/>
        <v>#DIV/0!</v>
      </c>
      <c r="U42" s="89"/>
    </row>
    <row r="43" spans="1:21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9"/>
        <v>0</v>
      </c>
      <c r="K43" s="118">
        <v>0</v>
      </c>
      <c r="L43" s="118">
        <v>0</v>
      </c>
      <c r="M43" s="119">
        <v>0</v>
      </c>
      <c r="N43" s="54">
        <f t="shared" si="17"/>
        <v>0</v>
      </c>
      <c r="O43" s="55">
        <f t="shared" si="12"/>
        <v>0</v>
      </c>
      <c r="P43" s="55">
        <f t="shared" si="13"/>
        <v>0</v>
      </c>
      <c r="Q43" s="56">
        <f t="shared" si="18"/>
        <v>0</v>
      </c>
      <c r="R43" s="77">
        <f t="shared" si="11"/>
        <v>0</v>
      </c>
      <c r="S43" s="247" t="e">
        <f t="shared" si="7"/>
        <v>#DIV/0!</v>
      </c>
      <c r="T43" s="206" t="e">
        <f t="shared" si="4"/>
        <v>#DIV/0!</v>
      </c>
      <c r="U43" s="89"/>
    </row>
    <row r="44" spans="1:21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9"/>
        <v>0</v>
      </c>
      <c r="K44" s="118">
        <v>0</v>
      </c>
      <c r="L44" s="118">
        <v>0</v>
      </c>
      <c r="M44" s="119">
        <v>0</v>
      </c>
      <c r="N44" s="54">
        <f t="shared" si="17"/>
        <v>0</v>
      </c>
      <c r="O44" s="55">
        <f t="shared" si="12"/>
        <v>0</v>
      </c>
      <c r="P44" s="55">
        <f t="shared" si="13"/>
        <v>0</v>
      </c>
      <c r="Q44" s="56">
        <f t="shared" si="18"/>
        <v>0</v>
      </c>
      <c r="R44" s="77">
        <f t="shared" si="11"/>
        <v>0</v>
      </c>
      <c r="S44" s="247" t="e">
        <f t="shared" si="7"/>
        <v>#DIV/0!</v>
      </c>
      <c r="T44" s="206" t="e">
        <f t="shared" si="4"/>
        <v>#DIV/0!</v>
      </c>
      <c r="U44" s="89"/>
    </row>
    <row r="45" spans="1:21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9"/>
        <v>0</v>
      </c>
      <c r="K45" s="118">
        <v>0</v>
      </c>
      <c r="L45" s="118">
        <v>0</v>
      </c>
      <c r="M45" s="119">
        <v>0</v>
      </c>
      <c r="N45" s="54">
        <f t="shared" si="17"/>
        <v>0</v>
      </c>
      <c r="O45" s="55">
        <f t="shared" si="12"/>
        <v>0</v>
      </c>
      <c r="P45" s="55">
        <f t="shared" si="13"/>
        <v>0</v>
      </c>
      <c r="Q45" s="56">
        <f t="shared" si="18"/>
        <v>0</v>
      </c>
      <c r="R45" s="77">
        <f t="shared" si="11"/>
        <v>0</v>
      </c>
      <c r="S45" s="247" t="e">
        <f t="shared" si="7"/>
        <v>#DIV/0!</v>
      </c>
      <c r="T45" s="206" t="e">
        <f t="shared" si="4"/>
        <v>#DIV/0!</v>
      </c>
      <c r="U45" s="89"/>
    </row>
    <row r="46" spans="1:21" hidden="1">
      <c r="A46" s="226">
        <v>38</v>
      </c>
      <c r="B46" s="178"/>
      <c r="C46" s="112"/>
      <c r="D46" s="178"/>
      <c r="E46" s="112"/>
      <c r="F46" s="112"/>
      <c r="G46" s="171"/>
      <c r="H46" s="225"/>
      <c r="I46" s="301">
        <f>'summary sheet'!$E$2</f>
        <v>120</v>
      </c>
      <c r="J46" s="301">
        <f t="shared" si="5"/>
        <v>0</v>
      </c>
      <c r="K46" s="187">
        <v>0</v>
      </c>
      <c r="L46" s="187">
        <v>0</v>
      </c>
      <c r="M46" s="187">
        <v>0</v>
      </c>
      <c r="N46" s="54">
        <f t="shared" si="6"/>
        <v>0</v>
      </c>
      <c r="O46" s="55">
        <f t="shared" si="8"/>
        <v>0</v>
      </c>
      <c r="P46" s="55">
        <f t="shared" si="9"/>
        <v>0</v>
      </c>
      <c r="Q46" s="56">
        <f t="shared" si="10"/>
        <v>0</v>
      </c>
      <c r="R46" s="77">
        <f t="shared" si="11"/>
        <v>0</v>
      </c>
      <c r="S46" s="247" t="e">
        <f t="shared" si="7"/>
        <v>#DIV/0!</v>
      </c>
      <c r="T46" s="206" t="e">
        <f t="shared" si="4"/>
        <v>#DIV/0!</v>
      </c>
      <c r="U46" s="89"/>
    </row>
    <row r="47" spans="1:21" hidden="1">
      <c r="A47" s="226">
        <v>39</v>
      </c>
      <c r="B47" s="178"/>
      <c r="C47" s="112"/>
      <c r="D47" s="178"/>
      <c r="E47" s="112"/>
      <c r="F47" s="112"/>
      <c r="G47" s="171"/>
      <c r="H47" s="225"/>
      <c r="I47" s="301">
        <f>'summary sheet'!$E$2</f>
        <v>120</v>
      </c>
      <c r="J47" s="301">
        <f t="shared" si="5"/>
        <v>0</v>
      </c>
      <c r="K47" s="187">
        <v>0</v>
      </c>
      <c r="L47" s="187">
        <v>0</v>
      </c>
      <c r="M47" s="187">
        <v>0</v>
      </c>
      <c r="N47" s="54">
        <f t="shared" si="6"/>
        <v>0</v>
      </c>
      <c r="O47" s="55">
        <f t="shared" si="8"/>
        <v>0</v>
      </c>
      <c r="P47" s="55">
        <f t="shared" si="9"/>
        <v>0</v>
      </c>
      <c r="Q47" s="56">
        <f t="shared" si="10"/>
        <v>0</v>
      </c>
      <c r="R47" s="77">
        <f t="shared" si="11"/>
        <v>0</v>
      </c>
      <c r="S47" s="247" t="e">
        <f t="shared" si="7"/>
        <v>#DIV/0!</v>
      </c>
      <c r="T47" s="206" t="e">
        <f t="shared" si="4"/>
        <v>#DIV/0!</v>
      </c>
      <c r="U47" s="89"/>
    </row>
    <row r="48" spans="1:21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1">
        <f>'summary sheet'!$E$2</f>
        <v>120</v>
      </c>
      <c r="J48" s="301">
        <f t="shared" si="5"/>
        <v>0</v>
      </c>
      <c r="K48" s="187">
        <v>0</v>
      </c>
      <c r="L48" s="187">
        <v>0</v>
      </c>
      <c r="M48" s="187">
        <v>0</v>
      </c>
      <c r="N48" s="54">
        <f t="shared" si="6"/>
        <v>0</v>
      </c>
      <c r="O48" s="55">
        <f t="shared" si="8"/>
        <v>0</v>
      </c>
      <c r="P48" s="55">
        <f t="shared" si="9"/>
        <v>0</v>
      </c>
      <c r="Q48" s="56">
        <f t="shared" si="10"/>
        <v>0</v>
      </c>
      <c r="R48" s="77">
        <f t="shared" si="11"/>
        <v>0</v>
      </c>
      <c r="S48" s="247" t="e">
        <f t="shared" si="7"/>
        <v>#DIV/0!</v>
      </c>
      <c r="T48" s="206" t="e">
        <f t="shared" si="4"/>
        <v>#DIV/0!</v>
      </c>
      <c r="U48" s="89"/>
    </row>
    <row r="49" spans="1:21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1">
        <f>'summary sheet'!$E$2</f>
        <v>120</v>
      </c>
      <c r="J49" s="301">
        <f t="shared" si="5"/>
        <v>0</v>
      </c>
      <c r="K49" s="187">
        <v>0</v>
      </c>
      <c r="L49" s="187">
        <v>0</v>
      </c>
      <c r="M49" s="187">
        <v>0</v>
      </c>
      <c r="N49" s="54">
        <f t="shared" si="6"/>
        <v>0</v>
      </c>
      <c r="O49" s="55">
        <f t="shared" si="8"/>
        <v>0</v>
      </c>
      <c r="P49" s="55">
        <f t="shared" si="9"/>
        <v>0</v>
      </c>
      <c r="Q49" s="56">
        <f t="shared" si="10"/>
        <v>0</v>
      </c>
      <c r="R49" s="77">
        <f t="shared" si="11"/>
        <v>0</v>
      </c>
      <c r="S49" s="247" t="e">
        <f t="shared" si="7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1">
        <f>'summary sheet'!$E$2</f>
        <v>120</v>
      </c>
      <c r="J50" s="301">
        <f t="shared" si="5"/>
        <v>0</v>
      </c>
      <c r="K50" s="187">
        <v>0</v>
      </c>
      <c r="L50" s="187">
        <v>0</v>
      </c>
      <c r="M50" s="187">
        <v>0</v>
      </c>
      <c r="N50" s="54">
        <f t="shared" si="6"/>
        <v>0</v>
      </c>
      <c r="O50" s="55">
        <f t="shared" si="8"/>
        <v>0</v>
      </c>
      <c r="P50" s="55">
        <f t="shared" si="9"/>
        <v>0</v>
      </c>
      <c r="Q50" s="56">
        <f t="shared" si="10"/>
        <v>0</v>
      </c>
      <c r="R50" s="77">
        <f t="shared" si="11"/>
        <v>0</v>
      </c>
      <c r="S50" s="247" t="e">
        <f t="shared" si="7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1">
        <f>'summary sheet'!$E$2</f>
        <v>120</v>
      </c>
      <c r="J51" s="301">
        <f t="shared" si="5"/>
        <v>0</v>
      </c>
      <c r="K51" s="187">
        <v>0</v>
      </c>
      <c r="L51" s="187">
        <v>0</v>
      </c>
      <c r="M51" s="187">
        <v>0</v>
      </c>
      <c r="N51" s="54">
        <f t="shared" si="6"/>
        <v>0</v>
      </c>
      <c r="O51" s="55">
        <f t="shared" si="8"/>
        <v>0</v>
      </c>
      <c r="P51" s="55">
        <f t="shared" si="9"/>
        <v>0</v>
      </c>
      <c r="Q51" s="56">
        <f t="shared" si="10"/>
        <v>0</v>
      </c>
      <c r="R51" s="77">
        <f t="shared" si="11"/>
        <v>0</v>
      </c>
      <c r="S51" s="247" t="e">
        <f t="shared" si="7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1">
        <f>'summary sheet'!$E$2</f>
        <v>120</v>
      </c>
      <c r="J52" s="301">
        <f t="shared" si="5"/>
        <v>0</v>
      </c>
      <c r="K52" s="187">
        <v>0</v>
      </c>
      <c r="L52" s="187">
        <v>0</v>
      </c>
      <c r="M52" s="187">
        <v>0</v>
      </c>
      <c r="N52" s="54">
        <f t="shared" si="6"/>
        <v>0</v>
      </c>
      <c r="O52" s="55">
        <f t="shared" si="8"/>
        <v>0</v>
      </c>
      <c r="P52" s="55">
        <f t="shared" si="9"/>
        <v>0</v>
      </c>
      <c r="Q52" s="56">
        <f t="shared" si="10"/>
        <v>0</v>
      </c>
      <c r="R52" s="77">
        <f t="shared" si="11"/>
        <v>0</v>
      </c>
      <c r="S52" s="247" t="e">
        <f t="shared" si="7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1">
        <f>'summary sheet'!$E$2</f>
        <v>120</v>
      </c>
      <c r="J53" s="301">
        <f t="shared" si="5"/>
        <v>0</v>
      </c>
      <c r="K53" s="187">
        <v>0</v>
      </c>
      <c r="L53" s="187">
        <v>0</v>
      </c>
      <c r="M53" s="187">
        <v>0</v>
      </c>
      <c r="N53" s="54">
        <f t="shared" si="6"/>
        <v>0</v>
      </c>
      <c r="O53" s="55">
        <f t="shared" si="8"/>
        <v>0</v>
      </c>
      <c r="P53" s="55">
        <f t="shared" si="9"/>
        <v>0</v>
      </c>
      <c r="Q53" s="56">
        <f t="shared" si="10"/>
        <v>0</v>
      </c>
      <c r="R53" s="77">
        <f t="shared" si="11"/>
        <v>0</v>
      </c>
      <c r="S53" s="247" t="e">
        <f t="shared" si="7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1">
        <f>'summary sheet'!$E$2</f>
        <v>120</v>
      </c>
      <c r="J54" s="301">
        <f t="shared" si="5"/>
        <v>0</v>
      </c>
      <c r="K54" s="187">
        <v>0</v>
      </c>
      <c r="L54" s="187">
        <v>0</v>
      </c>
      <c r="M54" s="187">
        <v>0</v>
      </c>
      <c r="N54" s="54">
        <f t="shared" si="6"/>
        <v>0</v>
      </c>
      <c r="O54" s="55">
        <f t="shared" si="8"/>
        <v>0</v>
      </c>
      <c r="P54" s="55">
        <f t="shared" si="9"/>
        <v>0</v>
      </c>
      <c r="Q54" s="56">
        <f t="shared" si="10"/>
        <v>0</v>
      </c>
      <c r="R54" s="77">
        <f t="shared" si="11"/>
        <v>0</v>
      </c>
      <c r="S54" s="247" t="e">
        <f t="shared" si="7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1">
        <f>'summary sheet'!$E$2</f>
        <v>120</v>
      </c>
      <c r="J55" s="301">
        <f t="shared" si="5"/>
        <v>0</v>
      </c>
      <c r="K55" s="187">
        <v>0</v>
      </c>
      <c r="L55" s="187">
        <v>0</v>
      </c>
      <c r="M55" s="187">
        <v>0</v>
      </c>
      <c r="N55" s="54">
        <f t="shared" si="6"/>
        <v>0</v>
      </c>
      <c r="O55" s="55">
        <f t="shared" si="8"/>
        <v>0</v>
      </c>
      <c r="P55" s="55">
        <f t="shared" si="9"/>
        <v>0</v>
      </c>
      <c r="Q55" s="56">
        <f t="shared" si="10"/>
        <v>0</v>
      </c>
      <c r="R55" s="77">
        <f t="shared" si="11"/>
        <v>0</v>
      </c>
      <c r="S55" s="247" t="e">
        <f t="shared" si="7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1">
        <f>'summary sheet'!$E$2</f>
        <v>120</v>
      </c>
      <c r="J56" s="301">
        <f t="shared" si="5"/>
        <v>0</v>
      </c>
      <c r="K56" s="187">
        <v>0</v>
      </c>
      <c r="L56" s="187">
        <v>0</v>
      </c>
      <c r="M56" s="187">
        <v>0</v>
      </c>
      <c r="N56" s="54">
        <f t="shared" si="6"/>
        <v>0</v>
      </c>
      <c r="O56" s="55">
        <f t="shared" si="8"/>
        <v>0</v>
      </c>
      <c r="P56" s="55">
        <f t="shared" si="9"/>
        <v>0</v>
      </c>
      <c r="Q56" s="56">
        <f t="shared" si="10"/>
        <v>0</v>
      </c>
      <c r="R56" s="77">
        <f t="shared" si="11"/>
        <v>0</v>
      </c>
      <c r="S56" s="247" t="e">
        <f t="shared" si="7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1">
        <f>'summary sheet'!$E$2</f>
        <v>120</v>
      </c>
      <c r="J57" s="301">
        <f t="shared" si="5"/>
        <v>0</v>
      </c>
      <c r="K57" s="187">
        <v>0</v>
      </c>
      <c r="L57" s="187">
        <v>0</v>
      </c>
      <c r="M57" s="187">
        <v>0</v>
      </c>
      <c r="N57" s="54">
        <f t="shared" si="6"/>
        <v>0</v>
      </c>
      <c r="O57" s="55">
        <f t="shared" si="8"/>
        <v>0</v>
      </c>
      <c r="P57" s="55">
        <f t="shared" si="9"/>
        <v>0</v>
      </c>
      <c r="Q57" s="56">
        <f t="shared" si="10"/>
        <v>0</v>
      </c>
      <c r="R57" s="77">
        <f t="shared" si="11"/>
        <v>0</v>
      </c>
      <c r="S57" s="247" t="e">
        <f t="shared" si="7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1">
        <f>'summary sheet'!$E$2</f>
        <v>120</v>
      </c>
      <c r="J58" s="301">
        <f t="shared" si="5"/>
        <v>0</v>
      </c>
      <c r="K58" s="187">
        <v>0</v>
      </c>
      <c r="L58" s="187">
        <v>0</v>
      </c>
      <c r="M58" s="187">
        <v>0</v>
      </c>
      <c r="N58" s="54">
        <f t="shared" si="6"/>
        <v>0</v>
      </c>
      <c r="O58" s="55">
        <f t="shared" si="8"/>
        <v>0</v>
      </c>
      <c r="P58" s="55">
        <f t="shared" si="9"/>
        <v>0</v>
      </c>
      <c r="Q58" s="56">
        <f t="shared" si="10"/>
        <v>0</v>
      </c>
      <c r="R58" s="77">
        <f t="shared" si="11"/>
        <v>0</v>
      </c>
      <c r="S58" s="247" t="e">
        <f t="shared" si="7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220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197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197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197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20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197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197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1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1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1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  <c r="F102" s="230"/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SUM(F102:F106)*Q74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SUM(F102:F107)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pageSetUpPr fitToPage="1"/>
  </sheetPr>
  <dimension ref="A1:V110"/>
  <sheetViews>
    <sheetView showGridLines="0" workbookViewId="0">
      <pane ySplit="8" topLeftCell="A9" activePane="bottomLeft" state="frozen"/>
      <selection activeCell="E107" sqref="E107"/>
      <selection pane="bottomLeft" activeCell="E9" sqref="E9"/>
    </sheetView>
  </sheetViews>
  <sheetFormatPr defaultColWidth="8.88671875" defaultRowHeight="13.2"/>
  <cols>
    <col min="1" max="1" width="3" style="49" customWidth="1"/>
    <col min="2" max="2" width="8.6640625" style="169" customWidth="1"/>
    <col min="3" max="3" width="17.6640625" style="49" customWidth="1"/>
    <col min="4" max="4" width="8.6640625" style="169" customWidth="1"/>
    <col min="5" max="5" width="33.6640625" style="49" customWidth="1"/>
    <col min="6" max="6" width="21.6640625" style="49" customWidth="1"/>
    <col min="7" max="8" width="8.6640625" style="169" customWidth="1"/>
    <col min="9" max="9" width="8.6640625" style="51" customWidth="1"/>
    <col min="10" max="13" width="10.6640625" style="51" customWidth="1"/>
    <col min="14" max="18" width="12.6640625" style="49" customWidth="1"/>
    <col min="19" max="20" width="12.6640625" style="49" hidden="1" customWidth="1"/>
    <col min="21" max="21" width="27.44140625" style="84" customWidth="1"/>
    <col min="22" max="16384" width="8.88671875" style="49"/>
  </cols>
  <sheetData>
    <row r="1" spans="1:22" ht="14.4" customHeight="1">
      <c r="A1" s="110" t="str">
        <f>'summary sheet'!A1</f>
        <v xml:space="preserve">PROJECT:  </v>
      </c>
      <c r="B1" s="176"/>
      <c r="C1" s="110"/>
      <c r="D1" s="176"/>
      <c r="E1" s="110"/>
      <c r="F1" s="12"/>
      <c r="G1" s="173"/>
      <c r="H1" s="173"/>
    </row>
    <row r="2" spans="1:22" ht="14.4" customHeight="1">
      <c r="A2" s="110" t="str">
        <f>'summary sheet'!A2:A2</f>
        <v xml:space="preserve">SHIP TO:  </v>
      </c>
      <c r="B2" s="176"/>
      <c r="C2" s="110"/>
      <c r="D2" s="176"/>
      <c r="E2" s="110"/>
      <c r="F2" s="12"/>
      <c r="G2" s="173"/>
      <c r="H2" s="173"/>
    </row>
    <row r="3" spans="1:22" ht="14.4" customHeight="1">
      <c r="A3" s="110" t="str" cm="1">
        <f t="array" aca="1" ref="A3" ca="1">CONCATENATE("SCOPE: ",MID(CELL("filename",A1),FIND("]",CELL("filename",A1))+1,255))</f>
        <v>SCOPE: Est (10)</v>
      </c>
      <c r="B3" s="176"/>
      <c r="C3" s="110"/>
      <c r="D3" s="176"/>
      <c r="E3" s="110"/>
      <c r="F3" s="12"/>
      <c r="G3" s="173"/>
      <c r="H3" s="173"/>
    </row>
    <row r="4" spans="1:22" ht="14.4" customHeight="1">
      <c r="A4" s="110" t="str">
        <f>'summary sheet'!A4</f>
        <v xml:space="preserve">BID INFO:  </v>
      </c>
      <c r="B4" s="176"/>
      <c r="C4" s="110"/>
      <c r="D4" s="176"/>
      <c r="E4" s="110"/>
      <c r="F4" s="12"/>
      <c r="G4" s="173"/>
      <c r="H4" s="173"/>
    </row>
    <row r="5" spans="1:22" ht="14.4" customHeight="1">
      <c r="A5" s="333">
        <f ca="1">'summary sheet'!A5</f>
        <v>45940.587119212963</v>
      </c>
      <c r="B5" s="333"/>
      <c r="C5" s="111"/>
      <c r="D5" s="179"/>
      <c r="E5" s="111"/>
      <c r="F5" s="76"/>
      <c r="G5" s="173"/>
      <c r="H5" s="173"/>
      <c r="R5" s="50"/>
      <c r="S5" s="50"/>
      <c r="T5" s="50"/>
    </row>
    <row r="6" spans="1:22">
      <c r="A6" s="6" t="s">
        <v>1</v>
      </c>
      <c r="B6" s="177"/>
      <c r="C6" s="19"/>
      <c r="D6" s="177"/>
      <c r="E6" s="22"/>
      <c r="F6" s="24"/>
      <c r="G6" s="174"/>
      <c r="H6" s="200"/>
      <c r="I6" s="297"/>
      <c r="J6" s="314" t="s">
        <v>20</v>
      </c>
      <c r="K6" s="190"/>
      <c r="L6" s="190"/>
      <c r="M6" s="191"/>
      <c r="N6" s="27" t="s">
        <v>19</v>
      </c>
      <c r="O6" s="28"/>
      <c r="P6" s="29"/>
      <c r="Q6" s="28"/>
      <c r="R6" s="30" t="s">
        <v>1</v>
      </c>
      <c r="S6" s="205"/>
      <c r="T6" s="205"/>
      <c r="U6" s="85" t="s">
        <v>21</v>
      </c>
    </row>
    <row r="7" spans="1:22" ht="21">
      <c r="A7" s="4" t="s">
        <v>1</v>
      </c>
      <c r="B7" s="167" t="s">
        <v>11</v>
      </c>
      <c r="C7" s="167" t="s">
        <v>12</v>
      </c>
      <c r="D7" s="167" t="s">
        <v>51</v>
      </c>
      <c r="E7" s="5" t="s">
        <v>2</v>
      </c>
      <c r="F7" s="25" t="s">
        <v>13</v>
      </c>
      <c r="G7" s="168" t="s">
        <v>50</v>
      </c>
      <c r="H7" s="168" t="s">
        <v>48</v>
      </c>
      <c r="I7" s="298" t="s">
        <v>49</v>
      </c>
      <c r="J7" s="303" t="s">
        <v>5</v>
      </c>
      <c r="K7" s="192" t="s">
        <v>6</v>
      </c>
      <c r="L7" s="192" t="s">
        <v>10</v>
      </c>
      <c r="M7" s="193" t="s">
        <v>7</v>
      </c>
      <c r="N7" s="40" t="s">
        <v>5</v>
      </c>
      <c r="O7" s="32" t="s">
        <v>6</v>
      </c>
      <c r="P7" s="31" t="s">
        <v>10</v>
      </c>
      <c r="Q7" s="32" t="s">
        <v>7</v>
      </c>
      <c r="R7" s="33" t="s">
        <v>8</v>
      </c>
      <c r="S7" s="328" t="s">
        <v>59</v>
      </c>
      <c r="T7" s="328" t="s">
        <v>60</v>
      </c>
      <c r="U7" s="86"/>
    </row>
    <row r="8" spans="1:22" ht="13.8" thickBot="1">
      <c r="A8" s="13" t="s">
        <v>1</v>
      </c>
      <c r="B8" s="26"/>
      <c r="C8" s="20"/>
      <c r="D8" s="26"/>
      <c r="E8" s="23"/>
      <c r="F8" s="26"/>
      <c r="G8" s="14"/>
      <c r="H8" s="14"/>
      <c r="I8" s="299"/>
      <c r="J8" s="299"/>
      <c r="K8" s="195"/>
      <c r="L8" s="194"/>
      <c r="M8" s="196" t="s">
        <v>9</v>
      </c>
      <c r="N8" s="41"/>
      <c r="O8" s="34"/>
      <c r="P8" s="35"/>
      <c r="Q8" s="34" t="s">
        <v>9</v>
      </c>
      <c r="R8" s="36"/>
      <c r="S8" s="329"/>
      <c r="T8" s="329"/>
      <c r="U8" s="87"/>
    </row>
    <row r="9" spans="1:22" ht="13.8" thickTop="1">
      <c r="A9" s="226">
        <v>1</v>
      </c>
      <c r="B9" s="178"/>
      <c r="C9" s="112"/>
      <c r="D9" s="261"/>
      <c r="E9" s="112"/>
      <c r="F9" s="262"/>
      <c r="G9" s="171"/>
      <c r="H9" s="171"/>
      <c r="I9" s="300">
        <f>'summary sheet'!$E$2</f>
        <v>120</v>
      </c>
      <c r="J9" s="301">
        <f>SUM(I9*H9)*G9</f>
        <v>0</v>
      </c>
      <c r="K9" s="187">
        <v>0</v>
      </c>
      <c r="L9" s="187">
        <v>0</v>
      </c>
      <c r="M9" s="187">
        <v>0</v>
      </c>
      <c r="N9" s="54">
        <f>J9</f>
        <v>0</v>
      </c>
      <c r="O9" s="55">
        <f t="shared" ref="O9:O10" si="0">SUM(G9)*K9</f>
        <v>0</v>
      </c>
      <c r="P9" s="55">
        <f t="shared" ref="P9:P10" si="1">SUM(L9)</f>
        <v>0</v>
      </c>
      <c r="Q9" s="56">
        <f t="shared" ref="Q9:Q10" si="2">SUM(G9)*M9</f>
        <v>0</v>
      </c>
      <c r="R9" s="77">
        <f t="shared" ref="R9:R10" si="3">SUM(N9:Q9)</f>
        <v>0</v>
      </c>
      <c r="S9" s="247" t="e">
        <f>(R9/($R$61-$R$60))*SUM($R$64:$R$69,$R$71:$R$72,$R$74,$R$76,$R$78,$R$60)+R9</f>
        <v>#DIV/0!</v>
      </c>
      <c r="T9" s="206" t="e">
        <f t="shared" ref="T9:T58" si="4">S9/G9</f>
        <v>#DIV/0!</v>
      </c>
      <c r="U9" s="88"/>
      <c r="V9" s="51"/>
    </row>
    <row r="10" spans="1:22">
      <c r="A10" s="226">
        <v>2</v>
      </c>
      <c r="B10" s="178"/>
      <c r="C10" s="112"/>
      <c r="D10" s="261"/>
      <c r="E10" s="112"/>
      <c r="F10" s="262"/>
      <c r="G10" s="171"/>
      <c r="H10" s="171"/>
      <c r="I10" s="301">
        <f>'summary sheet'!$E$2</f>
        <v>120</v>
      </c>
      <c r="J10" s="301">
        <f t="shared" ref="J10:J58" si="5">SUM(I10*H10)*G10</f>
        <v>0</v>
      </c>
      <c r="K10" s="187">
        <v>0</v>
      </c>
      <c r="L10" s="187">
        <v>0</v>
      </c>
      <c r="M10" s="187">
        <v>0</v>
      </c>
      <c r="N10" s="54">
        <f t="shared" ref="N10:N58" si="6">J10</f>
        <v>0</v>
      </c>
      <c r="O10" s="55">
        <f t="shared" si="0"/>
        <v>0</v>
      </c>
      <c r="P10" s="55">
        <f t="shared" si="1"/>
        <v>0</v>
      </c>
      <c r="Q10" s="56">
        <f t="shared" si="2"/>
        <v>0</v>
      </c>
      <c r="R10" s="77">
        <f t="shared" si="3"/>
        <v>0</v>
      </c>
      <c r="S10" s="247" t="e">
        <f t="shared" ref="S10:S58" si="7">(R10/($R$61-$R$60))*SUM($R$64:$R$69,$R$71:$R$72,$R$74,$R$76,$R$78,$R$60)+R10</f>
        <v>#DIV/0!</v>
      </c>
      <c r="T10" s="206" t="e">
        <f t="shared" si="4"/>
        <v>#DIV/0!</v>
      </c>
      <c r="U10" s="89"/>
      <c r="V10" s="51"/>
    </row>
    <row r="11" spans="1:22">
      <c r="A11" s="226">
        <v>3</v>
      </c>
      <c r="B11" s="178"/>
      <c r="C11" s="112"/>
      <c r="D11" s="261"/>
      <c r="E11" s="112"/>
      <c r="F11" s="262"/>
      <c r="G11" s="171"/>
      <c r="H11" s="171"/>
      <c r="I11" s="301">
        <f>'summary sheet'!$E$2</f>
        <v>120</v>
      </c>
      <c r="J11" s="301">
        <f t="shared" si="5"/>
        <v>0</v>
      </c>
      <c r="K11" s="187">
        <v>0</v>
      </c>
      <c r="L11" s="187">
        <v>0</v>
      </c>
      <c r="M11" s="187">
        <v>0</v>
      </c>
      <c r="N11" s="54">
        <f t="shared" si="6"/>
        <v>0</v>
      </c>
      <c r="O11" s="55">
        <f>SUM(G11)*K11</f>
        <v>0</v>
      </c>
      <c r="P11" s="55">
        <f>SUM(L11)</f>
        <v>0</v>
      </c>
      <c r="Q11" s="56">
        <f>SUM(G11)*M11</f>
        <v>0</v>
      </c>
      <c r="R11" s="77">
        <f>SUM(N11:Q11)</f>
        <v>0</v>
      </c>
      <c r="S11" s="247" t="e">
        <f t="shared" si="7"/>
        <v>#DIV/0!</v>
      </c>
      <c r="T11" s="206" t="e">
        <f t="shared" si="4"/>
        <v>#DIV/0!</v>
      </c>
      <c r="U11" s="89"/>
    </row>
    <row r="12" spans="1:22">
      <c r="A12" s="226">
        <v>4</v>
      </c>
      <c r="B12" s="178"/>
      <c r="C12" s="112"/>
      <c r="D12" s="178"/>
      <c r="E12" s="112"/>
      <c r="F12" s="112"/>
      <c r="G12" s="171"/>
      <c r="H12" s="225"/>
      <c r="I12" s="301">
        <f>'summary sheet'!$E$2</f>
        <v>120</v>
      </c>
      <c r="J12" s="301">
        <f t="shared" si="5"/>
        <v>0</v>
      </c>
      <c r="K12" s="187">
        <v>0</v>
      </c>
      <c r="L12" s="187">
        <v>0</v>
      </c>
      <c r="M12" s="187">
        <v>0</v>
      </c>
      <c r="N12" s="54">
        <f t="shared" si="6"/>
        <v>0</v>
      </c>
      <c r="O12" s="55">
        <f t="shared" ref="O12:O58" si="8">SUM(G12)*K12</f>
        <v>0</v>
      </c>
      <c r="P12" s="55">
        <f t="shared" ref="P12:P58" si="9">SUM(L12)</f>
        <v>0</v>
      </c>
      <c r="Q12" s="56">
        <f t="shared" ref="Q12:Q58" si="10">SUM(G12)*M12</f>
        <v>0</v>
      </c>
      <c r="R12" s="77">
        <f t="shared" ref="R12:R58" si="11">SUM(N12:Q12)</f>
        <v>0</v>
      </c>
      <c r="S12" s="247" t="e">
        <f t="shared" si="7"/>
        <v>#DIV/0!</v>
      </c>
      <c r="T12" s="206" t="e">
        <f t="shared" si="4"/>
        <v>#DIV/0!</v>
      </c>
      <c r="U12" s="89"/>
    </row>
    <row r="13" spans="1:22">
      <c r="A13" s="226">
        <v>5</v>
      </c>
      <c r="B13" s="178"/>
      <c r="C13" s="112"/>
      <c r="D13" s="178"/>
      <c r="E13" s="112"/>
      <c r="F13" s="112"/>
      <c r="G13" s="171"/>
      <c r="H13" s="225"/>
      <c r="I13" s="301">
        <f>'summary sheet'!$E$2</f>
        <v>120</v>
      </c>
      <c r="J13" s="301">
        <f t="shared" si="5"/>
        <v>0</v>
      </c>
      <c r="K13" s="187">
        <v>0</v>
      </c>
      <c r="L13" s="187">
        <v>0</v>
      </c>
      <c r="M13" s="187">
        <v>0</v>
      </c>
      <c r="N13" s="54">
        <f t="shared" si="6"/>
        <v>0</v>
      </c>
      <c r="O13" s="55">
        <f t="shared" si="8"/>
        <v>0</v>
      </c>
      <c r="P13" s="55">
        <f t="shared" si="9"/>
        <v>0</v>
      </c>
      <c r="Q13" s="56">
        <f t="shared" si="10"/>
        <v>0</v>
      </c>
      <c r="R13" s="77">
        <f t="shared" si="11"/>
        <v>0</v>
      </c>
      <c r="S13" s="247" t="e">
        <f t="shared" si="7"/>
        <v>#DIV/0!</v>
      </c>
      <c r="T13" s="206" t="e">
        <f t="shared" si="4"/>
        <v>#DIV/0!</v>
      </c>
      <c r="U13" s="89"/>
    </row>
    <row r="14" spans="1:22">
      <c r="A14" s="226">
        <v>6</v>
      </c>
      <c r="B14" s="178"/>
      <c r="C14" s="112"/>
      <c r="D14" s="178"/>
      <c r="E14" s="112"/>
      <c r="F14" s="112"/>
      <c r="G14" s="171"/>
      <c r="H14" s="225"/>
      <c r="I14" s="301">
        <f>'summary sheet'!$E$2</f>
        <v>120</v>
      </c>
      <c r="J14" s="301">
        <f t="shared" si="5"/>
        <v>0</v>
      </c>
      <c r="K14" s="187">
        <v>0</v>
      </c>
      <c r="L14" s="187">
        <v>0</v>
      </c>
      <c r="M14" s="187">
        <v>0</v>
      </c>
      <c r="N14" s="54">
        <f t="shared" si="6"/>
        <v>0</v>
      </c>
      <c r="O14" s="55">
        <f t="shared" si="8"/>
        <v>0</v>
      </c>
      <c r="P14" s="55">
        <f t="shared" si="9"/>
        <v>0</v>
      </c>
      <c r="Q14" s="56">
        <f t="shared" si="10"/>
        <v>0</v>
      </c>
      <c r="R14" s="77">
        <f t="shared" si="11"/>
        <v>0</v>
      </c>
      <c r="S14" s="247" t="e">
        <f t="shared" si="7"/>
        <v>#DIV/0!</v>
      </c>
      <c r="T14" s="206" t="e">
        <f t="shared" si="4"/>
        <v>#DIV/0!</v>
      </c>
      <c r="U14" s="89"/>
    </row>
    <row r="15" spans="1:22">
      <c r="A15" s="226">
        <v>7</v>
      </c>
      <c r="B15" s="178"/>
      <c r="C15" s="112"/>
      <c r="D15" s="178"/>
      <c r="E15" s="112"/>
      <c r="F15" s="112"/>
      <c r="G15" s="171"/>
      <c r="H15" s="225"/>
      <c r="I15" s="301">
        <f>'summary sheet'!$E$2</f>
        <v>120</v>
      </c>
      <c r="J15" s="301">
        <f t="shared" si="5"/>
        <v>0</v>
      </c>
      <c r="K15" s="187">
        <v>0</v>
      </c>
      <c r="L15" s="187">
        <v>0</v>
      </c>
      <c r="M15" s="187">
        <v>0</v>
      </c>
      <c r="N15" s="54">
        <f t="shared" si="6"/>
        <v>0</v>
      </c>
      <c r="O15" s="55">
        <f t="shared" si="8"/>
        <v>0</v>
      </c>
      <c r="P15" s="55">
        <f t="shared" si="9"/>
        <v>0</v>
      </c>
      <c r="Q15" s="56">
        <f t="shared" si="10"/>
        <v>0</v>
      </c>
      <c r="R15" s="77">
        <f t="shared" si="11"/>
        <v>0</v>
      </c>
      <c r="S15" s="247" t="e">
        <f t="shared" si="7"/>
        <v>#DIV/0!</v>
      </c>
      <c r="T15" s="206" t="e">
        <f t="shared" si="4"/>
        <v>#DIV/0!</v>
      </c>
      <c r="U15" s="89"/>
    </row>
    <row r="16" spans="1:22">
      <c r="A16" s="226">
        <v>8</v>
      </c>
      <c r="B16" s="178"/>
      <c r="C16" s="112"/>
      <c r="D16" s="178"/>
      <c r="E16" s="112"/>
      <c r="F16" s="112"/>
      <c r="G16" s="171"/>
      <c r="H16" s="225"/>
      <c r="I16" s="301">
        <f>'summary sheet'!$E$2</f>
        <v>120</v>
      </c>
      <c r="J16" s="301">
        <f t="shared" si="5"/>
        <v>0</v>
      </c>
      <c r="K16" s="187">
        <v>0</v>
      </c>
      <c r="L16" s="187">
        <v>0</v>
      </c>
      <c r="M16" s="187">
        <v>0</v>
      </c>
      <c r="N16" s="54">
        <f t="shared" si="6"/>
        <v>0</v>
      </c>
      <c r="O16" s="55">
        <f t="shared" si="8"/>
        <v>0</v>
      </c>
      <c r="P16" s="55">
        <f t="shared" si="9"/>
        <v>0</v>
      </c>
      <c r="Q16" s="56">
        <f t="shared" si="10"/>
        <v>0</v>
      </c>
      <c r="R16" s="77">
        <f t="shared" si="11"/>
        <v>0</v>
      </c>
      <c r="S16" s="247" t="e">
        <f t="shared" si="7"/>
        <v>#DIV/0!</v>
      </c>
      <c r="T16" s="206" t="e">
        <f t="shared" si="4"/>
        <v>#DIV/0!</v>
      </c>
      <c r="U16" s="89"/>
    </row>
    <row r="17" spans="1:22">
      <c r="A17" s="226">
        <v>9</v>
      </c>
      <c r="B17" s="178"/>
      <c r="C17" s="112"/>
      <c r="D17" s="178"/>
      <c r="E17" s="112"/>
      <c r="F17" s="112"/>
      <c r="G17" s="171"/>
      <c r="H17" s="225"/>
      <c r="I17" s="302">
        <f>'summary sheet'!$E$2</f>
        <v>120</v>
      </c>
      <c r="J17" s="301">
        <f t="shared" si="5"/>
        <v>0</v>
      </c>
      <c r="K17" s="187">
        <v>0</v>
      </c>
      <c r="L17" s="187">
        <v>0</v>
      </c>
      <c r="M17" s="187">
        <v>0</v>
      </c>
      <c r="N17" s="54">
        <f t="shared" si="6"/>
        <v>0</v>
      </c>
      <c r="O17" s="55">
        <f t="shared" ref="O17:O46" si="12">SUM(G17)*K17</f>
        <v>0</v>
      </c>
      <c r="P17" s="55">
        <f t="shared" ref="P17:P46" si="13">SUM(L17)</f>
        <v>0</v>
      </c>
      <c r="Q17" s="56">
        <f t="shared" ref="Q17:Q23" si="14">SUM(G17)*M17</f>
        <v>0</v>
      </c>
      <c r="R17" s="77">
        <f t="shared" si="11"/>
        <v>0</v>
      </c>
      <c r="S17" s="247" t="e">
        <f t="shared" si="7"/>
        <v>#DIV/0!</v>
      </c>
      <c r="T17" s="206" t="e">
        <f t="shared" si="4"/>
        <v>#DIV/0!</v>
      </c>
      <c r="U17" s="89"/>
    </row>
    <row r="18" spans="1:22">
      <c r="A18" s="226">
        <v>10</v>
      </c>
      <c r="B18" s="178"/>
      <c r="C18" s="112"/>
      <c r="D18" s="178"/>
      <c r="E18" s="112"/>
      <c r="F18" s="112"/>
      <c r="G18" s="171"/>
      <c r="H18" s="225"/>
      <c r="I18" s="302">
        <f>'summary sheet'!$E$2</f>
        <v>120</v>
      </c>
      <c r="J18" s="301">
        <f t="shared" si="5"/>
        <v>0</v>
      </c>
      <c r="K18" s="187">
        <v>0</v>
      </c>
      <c r="L18" s="187">
        <v>0</v>
      </c>
      <c r="M18" s="187">
        <v>0</v>
      </c>
      <c r="N18" s="54">
        <f t="shared" si="6"/>
        <v>0</v>
      </c>
      <c r="O18" s="55">
        <f t="shared" si="12"/>
        <v>0</v>
      </c>
      <c r="P18" s="55">
        <f t="shared" si="13"/>
        <v>0</v>
      </c>
      <c r="Q18" s="56">
        <f t="shared" si="14"/>
        <v>0</v>
      </c>
      <c r="R18" s="77">
        <f t="shared" si="11"/>
        <v>0</v>
      </c>
      <c r="S18" s="247" t="e">
        <f t="shared" si="7"/>
        <v>#DIV/0!</v>
      </c>
      <c r="T18" s="206" t="e">
        <f t="shared" si="4"/>
        <v>#DIV/0!</v>
      </c>
      <c r="U18" s="89"/>
    </row>
    <row r="19" spans="1:22">
      <c r="A19" s="226">
        <v>11</v>
      </c>
      <c r="B19" s="178"/>
      <c r="C19" s="112"/>
      <c r="D19" s="178"/>
      <c r="E19" s="112"/>
      <c r="F19" s="112"/>
      <c r="G19" s="171"/>
      <c r="H19" s="225"/>
      <c r="I19" s="302">
        <f>'summary sheet'!$E$2</f>
        <v>120</v>
      </c>
      <c r="J19" s="301">
        <f t="shared" si="5"/>
        <v>0</v>
      </c>
      <c r="K19" s="187">
        <v>0</v>
      </c>
      <c r="L19" s="187">
        <v>0</v>
      </c>
      <c r="M19" s="187">
        <v>0</v>
      </c>
      <c r="N19" s="54">
        <f t="shared" si="6"/>
        <v>0</v>
      </c>
      <c r="O19" s="55">
        <f t="shared" si="12"/>
        <v>0</v>
      </c>
      <c r="P19" s="55">
        <f t="shared" si="13"/>
        <v>0</v>
      </c>
      <c r="Q19" s="56">
        <f t="shared" si="14"/>
        <v>0</v>
      </c>
      <c r="R19" s="77">
        <f t="shared" si="11"/>
        <v>0</v>
      </c>
      <c r="S19" s="247" t="e">
        <f t="shared" si="7"/>
        <v>#DIV/0!</v>
      </c>
      <c r="T19" s="206" t="e">
        <f t="shared" si="4"/>
        <v>#DIV/0!</v>
      </c>
      <c r="U19" s="89"/>
    </row>
    <row r="20" spans="1:22">
      <c r="A20" s="226">
        <v>12</v>
      </c>
      <c r="B20" s="178"/>
      <c r="C20" s="112"/>
      <c r="D20" s="178"/>
      <c r="E20" s="112"/>
      <c r="F20" s="112"/>
      <c r="G20" s="171"/>
      <c r="H20" s="225"/>
      <c r="I20" s="302">
        <f>'summary sheet'!$E$2</f>
        <v>120</v>
      </c>
      <c r="J20" s="301">
        <f t="shared" si="5"/>
        <v>0</v>
      </c>
      <c r="K20" s="187">
        <v>0</v>
      </c>
      <c r="L20" s="187">
        <v>0</v>
      </c>
      <c r="M20" s="187">
        <v>0</v>
      </c>
      <c r="N20" s="54">
        <f t="shared" si="6"/>
        <v>0</v>
      </c>
      <c r="O20" s="55">
        <f t="shared" si="12"/>
        <v>0</v>
      </c>
      <c r="P20" s="55">
        <f t="shared" si="13"/>
        <v>0</v>
      </c>
      <c r="Q20" s="56">
        <f t="shared" si="14"/>
        <v>0</v>
      </c>
      <c r="R20" s="77">
        <f t="shared" si="11"/>
        <v>0</v>
      </c>
      <c r="S20" s="247" t="e">
        <f t="shared" si="7"/>
        <v>#DIV/0!</v>
      </c>
      <c r="T20" s="206" t="e">
        <f t="shared" si="4"/>
        <v>#DIV/0!</v>
      </c>
      <c r="U20" s="89"/>
    </row>
    <row r="21" spans="1:22">
      <c r="A21" s="226">
        <v>13</v>
      </c>
      <c r="B21" s="178"/>
      <c r="C21" s="112"/>
      <c r="D21" s="178"/>
      <c r="E21" s="112"/>
      <c r="F21" s="112"/>
      <c r="G21" s="171"/>
      <c r="H21" s="225"/>
      <c r="I21" s="302">
        <f>'summary sheet'!$E$2</f>
        <v>120</v>
      </c>
      <c r="J21" s="301">
        <f t="shared" si="5"/>
        <v>0</v>
      </c>
      <c r="K21" s="187">
        <v>0</v>
      </c>
      <c r="L21" s="187">
        <v>0</v>
      </c>
      <c r="M21" s="187">
        <v>0</v>
      </c>
      <c r="N21" s="54">
        <f t="shared" si="6"/>
        <v>0</v>
      </c>
      <c r="O21" s="55">
        <f t="shared" si="12"/>
        <v>0</v>
      </c>
      <c r="P21" s="55">
        <f t="shared" si="13"/>
        <v>0</v>
      </c>
      <c r="Q21" s="56">
        <f t="shared" si="14"/>
        <v>0</v>
      </c>
      <c r="R21" s="77">
        <f t="shared" si="11"/>
        <v>0</v>
      </c>
      <c r="S21" s="247" t="e">
        <f t="shared" si="7"/>
        <v>#DIV/0!</v>
      </c>
      <c r="T21" s="206" t="e">
        <f t="shared" si="4"/>
        <v>#DIV/0!</v>
      </c>
      <c r="U21" s="89"/>
    </row>
    <row r="22" spans="1:22">
      <c r="A22" s="226">
        <v>14</v>
      </c>
      <c r="B22" s="178"/>
      <c r="C22" s="112"/>
      <c r="D22" s="178"/>
      <c r="E22" s="112"/>
      <c r="F22" s="112"/>
      <c r="G22" s="171"/>
      <c r="H22" s="225"/>
      <c r="I22" s="302">
        <f>'summary sheet'!$E$2</f>
        <v>120</v>
      </c>
      <c r="J22" s="301">
        <f t="shared" si="5"/>
        <v>0</v>
      </c>
      <c r="K22" s="187">
        <v>0</v>
      </c>
      <c r="L22" s="187">
        <v>0</v>
      </c>
      <c r="M22" s="187">
        <v>0</v>
      </c>
      <c r="N22" s="54">
        <f t="shared" si="6"/>
        <v>0</v>
      </c>
      <c r="O22" s="55">
        <f t="shared" si="12"/>
        <v>0</v>
      </c>
      <c r="P22" s="55">
        <f t="shared" si="13"/>
        <v>0</v>
      </c>
      <c r="Q22" s="56">
        <f t="shared" si="14"/>
        <v>0</v>
      </c>
      <c r="R22" s="77">
        <f t="shared" si="11"/>
        <v>0</v>
      </c>
      <c r="S22" s="247" t="e">
        <f t="shared" si="7"/>
        <v>#DIV/0!</v>
      </c>
      <c r="T22" s="206" t="e">
        <f t="shared" si="4"/>
        <v>#DIV/0!</v>
      </c>
      <c r="U22" s="89"/>
    </row>
    <row r="23" spans="1:22" ht="13.8" thickBot="1">
      <c r="A23" s="226">
        <v>15</v>
      </c>
      <c r="B23" s="178"/>
      <c r="C23" s="112"/>
      <c r="D23" s="178"/>
      <c r="E23" s="112"/>
      <c r="F23" s="112"/>
      <c r="G23" s="171"/>
      <c r="H23" s="225"/>
      <c r="I23" s="302">
        <f>'summary sheet'!$E$2</f>
        <v>120</v>
      </c>
      <c r="J23" s="301">
        <f t="shared" si="5"/>
        <v>0</v>
      </c>
      <c r="K23" s="187">
        <v>0</v>
      </c>
      <c r="L23" s="187">
        <v>0</v>
      </c>
      <c r="M23" s="187">
        <v>0</v>
      </c>
      <c r="N23" s="54">
        <f t="shared" si="6"/>
        <v>0</v>
      </c>
      <c r="O23" s="55">
        <f t="shared" si="12"/>
        <v>0</v>
      </c>
      <c r="P23" s="55">
        <f t="shared" si="13"/>
        <v>0</v>
      </c>
      <c r="Q23" s="56">
        <f t="shared" si="14"/>
        <v>0</v>
      </c>
      <c r="R23" s="77">
        <f t="shared" si="11"/>
        <v>0</v>
      </c>
      <c r="S23" s="247" t="e">
        <f t="shared" si="7"/>
        <v>#DIV/0!</v>
      </c>
      <c r="T23" s="206" t="e">
        <f t="shared" si="4"/>
        <v>#DIV/0!</v>
      </c>
      <c r="U23" s="89"/>
    </row>
    <row r="24" spans="1:22" hidden="1">
      <c r="A24" s="226">
        <v>16</v>
      </c>
      <c r="B24" s="178"/>
      <c r="C24" s="112"/>
      <c r="D24" s="178"/>
      <c r="E24" s="112"/>
      <c r="F24" s="112"/>
      <c r="G24" s="171"/>
      <c r="H24" s="225"/>
      <c r="I24" s="302">
        <f>'summary sheet'!$E$2</f>
        <v>120</v>
      </c>
      <c r="J24" s="315">
        <f t="shared" ref="J24" si="15">SUM(H24*I24)*G24</f>
        <v>0</v>
      </c>
      <c r="K24" s="118">
        <v>0</v>
      </c>
      <c r="L24" s="118">
        <v>0</v>
      </c>
      <c r="M24" s="119">
        <v>0</v>
      </c>
      <c r="N24" s="54">
        <f t="shared" si="6"/>
        <v>0</v>
      </c>
      <c r="O24" s="55">
        <f t="shared" si="12"/>
        <v>0</v>
      </c>
      <c r="P24" s="55">
        <f t="shared" si="13"/>
        <v>0</v>
      </c>
      <c r="Q24" s="56">
        <f t="shared" ref="Q24" si="16">M24</f>
        <v>0</v>
      </c>
      <c r="R24" s="77">
        <f t="shared" si="11"/>
        <v>0</v>
      </c>
      <c r="S24" s="247" t="e">
        <f t="shared" si="7"/>
        <v>#DIV/0!</v>
      </c>
      <c r="T24" s="206" t="e">
        <f t="shared" si="4"/>
        <v>#DIV/0!</v>
      </c>
      <c r="U24" s="89"/>
    </row>
    <row r="25" spans="1:22" ht="12.75" hidden="1" customHeight="1">
      <c r="A25" s="226">
        <v>17</v>
      </c>
      <c r="B25" s="178"/>
      <c r="C25" s="112"/>
      <c r="D25" s="178"/>
      <c r="E25" s="112"/>
      <c r="F25" s="112"/>
      <c r="G25" s="171"/>
      <c r="H25" s="225"/>
      <c r="I25" s="302">
        <f>'summary sheet'!$E$2</f>
        <v>120</v>
      </c>
      <c r="J25" s="315">
        <f>SUM(H25*I25)*G25</f>
        <v>0</v>
      </c>
      <c r="K25" s="118">
        <v>0</v>
      </c>
      <c r="L25" s="118">
        <v>0</v>
      </c>
      <c r="M25" s="119">
        <v>0</v>
      </c>
      <c r="N25" s="54">
        <f>J25</f>
        <v>0</v>
      </c>
      <c r="O25" s="55">
        <f t="shared" si="12"/>
        <v>0</v>
      </c>
      <c r="P25" s="55">
        <f t="shared" si="13"/>
        <v>0</v>
      </c>
      <c r="Q25" s="56">
        <f>M25</f>
        <v>0</v>
      </c>
      <c r="R25" s="77">
        <f t="shared" si="11"/>
        <v>0</v>
      </c>
      <c r="S25" s="247" t="e">
        <f t="shared" si="7"/>
        <v>#DIV/0!</v>
      </c>
      <c r="T25" s="206" t="e">
        <f t="shared" si="4"/>
        <v>#DIV/0!</v>
      </c>
      <c r="U25" s="88"/>
      <c r="V25" s="51"/>
    </row>
    <row r="26" spans="1:22" hidden="1">
      <c r="A26" s="226">
        <v>18</v>
      </c>
      <c r="B26" s="178"/>
      <c r="C26" s="112"/>
      <c r="D26" s="178"/>
      <c r="E26" s="112"/>
      <c r="F26" s="112"/>
      <c r="G26" s="171"/>
      <c r="H26" s="225"/>
      <c r="I26" s="302">
        <f>'summary sheet'!$E$2</f>
        <v>120</v>
      </c>
      <c r="J26" s="315">
        <f>SUM(H26*I26)*G26</f>
        <v>0</v>
      </c>
      <c r="K26" s="118">
        <v>0</v>
      </c>
      <c r="L26" s="118">
        <v>0</v>
      </c>
      <c r="M26" s="119">
        <v>0</v>
      </c>
      <c r="N26" s="54">
        <f t="shared" ref="N26:N46" si="17">J26</f>
        <v>0</v>
      </c>
      <c r="O26" s="55">
        <f t="shared" si="12"/>
        <v>0</v>
      </c>
      <c r="P26" s="55">
        <f t="shared" si="13"/>
        <v>0</v>
      </c>
      <c r="Q26" s="56">
        <f t="shared" ref="Q26:Q46" si="18">M26</f>
        <v>0</v>
      </c>
      <c r="R26" s="77">
        <f t="shared" si="11"/>
        <v>0</v>
      </c>
      <c r="S26" s="247" t="e">
        <f t="shared" si="7"/>
        <v>#DIV/0!</v>
      </c>
      <c r="T26" s="206" t="e">
        <f t="shared" si="4"/>
        <v>#DIV/0!</v>
      </c>
      <c r="U26" s="89"/>
      <c r="V26" s="51"/>
    </row>
    <row r="27" spans="1:22" hidden="1">
      <c r="A27" s="226">
        <v>19</v>
      </c>
      <c r="B27" s="178"/>
      <c r="C27" s="112"/>
      <c r="D27" s="178"/>
      <c r="E27" s="112"/>
      <c r="F27" s="112"/>
      <c r="G27" s="171"/>
      <c r="H27" s="225"/>
      <c r="I27" s="302">
        <f>'summary sheet'!$E$2</f>
        <v>120</v>
      </c>
      <c r="J27" s="315">
        <f t="shared" ref="J27:J46" si="19">SUM(H27*I27)*G27</f>
        <v>0</v>
      </c>
      <c r="K27" s="118">
        <v>0</v>
      </c>
      <c r="L27" s="118">
        <v>0</v>
      </c>
      <c r="M27" s="119">
        <v>0</v>
      </c>
      <c r="N27" s="54">
        <f t="shared" si="17"/>
        <v>0</v>
      </c>
      <c r="O27" s="55">
        <f t="shared" si="12"/>
        <v>0</v>
      </c>
      <c r="P27" s="55">
        <f t="shared" si="13"/>
        <v>0</v>
      </c>
      <c r="Q27" s="56">
        <f t="shared" si="18"/>
        <v>0</v>
      </c>
      <c r="R27" s="77">
        <f t="shared" si="11"/>
        <v>0</v>
      </c>
      <c r="S27" s="247" t="e">
        <f t="shared" si="7"/>
        <v>#DIV/0!</v>
      </c>
      <c r="T27" s="206" t="e">
        <f t="shared" si="4"/>
        <v>#DIV/0!</v>
      </c>
      <c r="U27" s="89"/>
    </row>
    <row r="28" spans="1:22" ht="13.2" hidden="1" customHeight="1">
      <c r="A28" s="226">
        <v>20</v>
      </c>
      <c r="B28" s="178"/>
      <c r="C28" s="112"/>
      <c r="D28" s="178"/>
      <c r="E28" s="112"/>
      <c r="F28" s="112"/>
      <c r="G28" s="171"/>
      <c r="H28" s="225"/>
      <c r="I28" s="302">
        <f>'summary sheet'!$E$2</f>
        <v>120</v>
      </c>
      <c r="J28" s="315">
        <f t="shared" si="19"/>
        <v>0</v>
      </c>
      <c r="K28" s="118">
        <v>0</v>
      </c>
      <c r="L28" s="118">
        <v>0</v>
      </c>
      <c r="M28" s="119">
        <v>0</v>
      </c>
      <c r="N28" s="54">
        <f t="shared" si="17"/>
        <v>0</v>
      </c>
      <c r="O28" s="55">
        <f t="shared" si="12"/>
        <v>0</v>
      </c>
      <c r="P28" s="55">
        <f t="shared" si="13"/>
        <v>0</v>
      </c>
      <c r="Q28" s="56">
        <f t="shared" si="18"/>
        <v>0</v>
      </c>
      <c r="R28" s="77">
        <f t="shared" si="11"/>
        <v>0</v>
      </c>
      <c r="S28" s="247" t="e">
        <f t="shared" si="7"/>
        <v>#DIV/0!</v>
      </c>
      <c r="T28" s="206" t="e">
        <f t="shared" si="4"/>
        <v>#DIV/0!</v>
      </c>
      <c r="U28" s="89"/>
    </row>
    <row r="29" spans="1:22" ht="13.2" hidden="1" customHeight="1">
      <c r="A29" s="226">
        <v>21</v>
      </c>
      <c r="B29" s="178"/>
      <c r="C29" s="112"/>
      <c r="D29" s="178"/>
      <c r="E29" s="112"/>
      <c r="F29" s="112"/>
      <c r="G29" s="171"/>
      <c r="H29" s="225"/>
      <c r="I29" s="302">
        <f>'summary sheet'!$E$2</f>
        <v>120</v>
      </c>
      <c r="J29" s="315">
        <f t="shared" si="19"/>
        <v>0</v>
      </c>
      <c r="K29" s="118">
        <v>0</v>
      </c>
      <c r="L29" s="118">
        <v>0</v>
      </c>
      <c r="M29" s="119">
        <v>0</v>
      </c>
      <c r="N29" s="54">
        <f t="shared" si="17"/>
        <v>0</v>
      </c>
      <c r="O29" s="55">
        <f t="shared" si="12"/>
        <v>0</v>
      </c>
      <c r="P29" s="55">
        <f t="shared" si="13"/>
        <v>0</v>
      </c>
      <c r="Q29" s="56">
        <f t="shared" si="18"/>
        <v>0</v>
      </c>
      <c r="R29" s="77">
        <f t="shared" si="11"/>
        <v>0</v>
      </c>
      <c r="S29" s="247" t="e">
        <f t="shared" si="7"/>
        <v>#DIV/0!</v>
      </c>
      <c r="T29" s="206" t="e">
        <f t="shared" si="4"/>
        <v>#DIV/0!</v>
      </c>
      <c r="U29" s="89"/>
    </row>
    <row r="30" spans="1:22" ht="13.2" hidden="1" customHeight="1">
      <c r="A30" s="226">
        <v>22</v>
      </c>
      <c r="B30" s="178"/>
      <c r="C30" s="112"/>
      <c r="D30" s="178"/>
      <c r="E30" s="112"/>
      <c r="F30" s="112"/>
      <c r="G30" s="171"/>
      <c r="H30" s="225"/>
      <c r="I30" s="302">
        <f>'summary sheet'!$E$2</f>
        <v>120</v>
      </c>
      <c r="J30" s="315">
        <f t="shared" si="19"/>
        <v>0</v>
      </c>
      <c r="K30" s="118">
        <v>0</v>
      </c>
      <c r="L30" s="118">
        <v>0</v>
      </c>
      <c r="M30" s="119">
        <v>0</v>
      </c>
      <c r="N30" s="54">
        <f t="shared" si="17"/>
        <v>0</v>
      </c>
      <c r="O30" s="55">
        <f t="shared" si="12"/>
        <v>0</v>
      </c>
      <c r="P30" s="55">
        <f t="shared" si="13"/>
        <v>0</v>
      </c>
      <c r="Q30" s="56">
        <f t="shared" si="18"/>
        <v>0</v>
      </c>
      <c r="R30" s="77">
        <f t="shared" si="11"/>
        <v>0</v>
      </c>
      <c r="S30" s="247" t="e">
        <f t="shared" si="7"/>
        <v>#DIV/0!</v>
      </c>
      <c r="T30" s="206" t="e">
        <f t="shared" si="4"/>
        <v>#DIV/0!</v>
      </c>
      <c r="U30" s="89"/>
    </row>
    <row r="31" spans="1:22" ht="13.2" hidden="1" customHeight="1">
      <c r="A31" s="226">
        <v>23</v>
      </c>
      <c r="B31" s="178"/>
      <c r="C31" s="112"/>
      <c r="D31" s="178"/>
      <c r="E31" s="112"/>
      <c r="F31" s="112"/>
      <c r="G31" s="171"/>
      <c r="H31" s="225"/>
      <c r="I31" s="302">
        <f>'summary sheet'!$E$2</f>
        <v>120</v>
      </c>
      <c r="J31" s="315">
        <f t="shared" si="19"/>
        <v>0</v>
      </c>
      <c r="K31" s="118">
        <v>0</v>
      </c>
      <c r="L31" s="118">
        <v>0</v>
      </c>
      <c r="M31" s="119">
        <v>0</v>
      </c>
      <c r="N31" s="54">
        <f t="shared" si="17"/>
        <v>0</v>
      </c>
      <c r="O31" s="55">
        <f t="shared" si="12"/>
        <v>0</v>
      </c>
      <c r="P31" s="55">
        <f t="shared" si="13"/>
        <v>0</v>
      </c>
      <c r="Q31" s="56">
        <f t="shared" si="18"/>
        <v>0</v>
      </c>
      <c r="R31" s="77">
        <f t="shared" si="11"/>
        <v>0</v>
      </c>
      <c r="S31" s="247" t="e">
        <f t="shared" si="7"/>
        <v>#DIV/0!</v>
      </c>
      <c r="T31" s="206" t="e">
        <f t="shared" si="4"/>
        <v>#DIV/0!</v>
      </c>
      <c r="U31" s="89"/>
    </row>
    <row r="32" spans="1:22" hidden="1">
      <c r="A32" s="226">
        <v>24</v>
      </c>
      <c r="B32" s="178"/>
      <c r="C32" s="112"/>
      <c r="D32" s="178"/>
      <c r="E32" s="112"/>
      <c r="F32" s="112"/>
      <c r="G32" s="171"/>
      <c r="H32" s="225"/>
      <c r="I32" s="302">
        <f>'summary sheet'!$E$2</f>
        <v>120</v>
      </c>
      <c r="J32" s="315">
        <f t="shared" si="19"/>
        <v>0</v>
      </c>
      <c r="K32" s="118">
        <v>0</v>
      </c>
      <c r="L32" s="118">
        <v>0</v>
      </c>
      <c r="M32" s="119">
        <v>0</v>
      </c>
      <c r="N32" s="54">
        <f t="shared" si="17"/>
        <v>0</v>
      </c>
      <c r="O32" s="55">
        <f t="shared" si="12"/>
        <v>0</v>
      </c>
      <c r="P32" s="55">
        <f t="shared" si="13"/>
        <v>0</v>
      </c>
      <c r="Q32" s="56">
        <f t="shared" si="18"/>
        <v>0</v>
      </c>
      <c r="R32" s="77">
        <f t="shared" si="11"/>
        <v>0</v>
      </c>
      <c r="S32" s="247" t="e">
        <f t="shared" si="7"/>
        <v>#DIV/0!</v>
      </c>
      <c r="T32" s="206" t="e">
        <f t="shared" si="4"/>
        <v>#DIV/0!</v>
      </c>
      <c r="U32" s="89"/>
    </row>
    <row r="33" spans="1:21" hidden="1">
      <c r="A33" s="226">
        <v>25</v>
      </c>
      <c r="B33" s="178"/>
      <c r="C33" s="112"/>
      <c r="D33" s="178"/>
      <c r="E33" s="112"/>
      <c r="F33" s="112"/>
      <c r="G33" s="171"/>
      <c r="H33" s="225"/>
      <c r="I33" s="302">
        <f>'summary sheet'!$E$2</f>
        <v>120</v>
      </c>
      <c r="J33" s="315">
        <f t="shared" si="19"/>
        <v>0</v>
      </c>
      <c r="K33" s="118">
        <v>0</v>
      </c>
      <c r="L33" s="118">
        <v>0</v>
      </c>
      <c r="M33" s="119">
        <v>0</v>
      </c>
      <c r="N33" s="54">
        <f t="shared" si="17"/>
        <v>0</v>
      </c>
      <c r="O33" s="55">
        <f t="shared" si="12"/>
        <v>0</v>
      </c>
      <c r="P33" s="55">
        <f t="shared" si="13"/>
        <v>0</v>
      </c>
      <c r="Q33" s="56">
        <f t="shared" si="18"/>
        <v>0</v>
      </c>
      <c r="R33" s="77">
        <f t="shared" si="11"/>
        <v>0</v>
      </c>
      <c r="S33" s="247" t="e">
        <f t="shared" si="7"/>
        <v>#DIV/0!</v>
      </c>
      <c r="T33" s="206" t="e">
        <f t="shared" si="4"/>
        <v>#DIV/0!</v>
      </c>
      <c r="U33" s="89"/>
    </row>
    <row r="34" spans="1:21" hidden="1">
      <c r="A34" s="226">
        <v>26</v>
      </c>
      <c r="B34" s="178"/>
      <c r="C34" s="112"/>
      <c r="D34" s="178"/>
      <c r="E34" s="112"/>
      <c r="F34" s="112"/>
      <c r="G34" s="171"/>
      <c r="H34" s="225"/>
      <c r="I34" s="302">
        <f>'summary sheet'!$E$2</f>
        <v>120</v>
      </c>
      <c r="J34" s="315">
        <f t="shared" si="19"/>
        <v>0</v>
      </c>
      <c r="K34" s="118">
        <v>0</v>
      </c>
      <c r="L34" s="118">
        <v>0</v>
      </c>
      <c r="M34" s="119">
        <v>0</v>
      </c>
      <c r="N34" s="54">
        <f t="shared" si="17"/>
        <v>0</v>
      </c>
      <c r="O34" s="55">
        <f t="shared" si="12"/>
        <v>0</v>
      </c>
      <c r="P34" s="55">
        <f t="shared" si="13"/>
        <v>0</v>
      </c>
      <c r="Q34" s="56">
        <f t="shared" si="18"/>
        <v>0</v>
      </c>
      <c r="R34" s="77">
        <f t="shared" si="11"/>
        <v>0</v>
      </c>
      <c r="S34" s="247" t="e">
        <f t="shared" si="7"/>
        <v>#DIV/0!</v>
      </c>
      <c r="T34" s="206" t="e">
        <f t="shared" si="4"/>
        <v>#DIV/0!</v>
      </c>
      <c r="U34" s="89"/>
    </row>
    <row r="35" spans="1:21" hidden="1">
      <c r="A35" s="226">
        <v>27</v>
      </c>
      <c r="B35" s="178"/>
      <c r="C35" s="112"/>
      <c r="D35" s="178"/>
      <c r="E35" s="112"/>
      <c r="F35" s="112"/>
      <c r="G35" s="171"/>
      <c r="H35" s="225"/>
      <c r="I35" s="302">
        <f>'summary sheet'!$E$2</f>
        <v>120</v>
      </c>
      <c r="J35" s="315">
        <f t="shared" si="19"/>
        <v>0</v>
      </c>
      <c r="K35" s="118">
        <v>0</v>
      </c>
      <c r="L35" s="118">
        <v>0</v>
      </c>
      <c r="M35" s="119">
        <v>0</v>
      </c>
      <c r="N35" s="54">
        <f t="shared" si="17"/>
        <v>0</v>
      </c>
      <c r="O35" s="55">
        <f t="shared" si="12"/>
        <v>0</v>
      </c>
      <c r="P35" s="55">
        <f t="shared" si="13"/>
        <v>0</v>
      </c>
      <c r="Q35" s="56">
        <f t="shared" si="18"/>
        <v>0</v>
      </c>
      <c r="R35" s="77">
        <f t="shared" si="11"/>
        <v>0</v>
      </c>
      <c r="S35" s="247" t="e">
        <f t="shared" si="7"/>
        <v>#DIV/0!</v>
      </c>
      <c r="T35" s="206" t="e">
        <f t="shared" si="4"/>
        <v>#DIV/0!</v>
      </c>
      <c r="U35" s="89"/>
    </row>
    <row r="36" spans="1:21" hidden="1">
      <c r="A36" s="226">
        <v>28</v>
      </c>
      <c r="B36" s="178"/>
      <c r="C36" s="112"/>
      <c r="D36" s="178"/>
      <c r="E36" s="112"/>
      <c r="F36" s="112"/>
      <c r="G36" s="171"/>
      <c r="H36" s="225"/>
      <c r="I36" s="302">
        <f>'summary sheet'!$E$2</f>
        <v>120</v>
      </c>
      <c r="J36" s="315">
        <f t="shared" si="19"/>
        <v>0</v>
      </c>
      <c r="K36" s="118">
        <v>0</v>
      </c>
      <c r="L36" s="118">
        <v>0</v>
      </c>
      <c r="M36" s="119">
        <v>0</v>
      </c>
      <c r="N36" s="54">
        <f t="shared" si="17"/>
        <v>0</v>
      </c>
      <c r="O36" s="55">
        <f t="shared" si="12"/>
        <v>0</v>
      </c>
      <c r="P36" s="55">
        <f t="shared" si="13"/>
        <v>0</v>
      </c>
      <c r="Q36" s="56">
        <f t="shared" si="18"/>
        <v>0</v>
      </c>
      <c r="R36" s="77">
        <f t="shared" si="11"/>
        <v>0</v>
      </c>
      <c r="S36" s="247" t="e">
        <f t="shared" si="7"/>
        <v>#DIV/0!</v>
      </c>
      <c r="T36" s="206" t="e">
        <f t="shared" si="4"/>
        <v>#DIV/0!</v>
      </c>
      <c r="U36" s="89"/>
    </row>
    <row r="37" spans="1:21" ht="13.2" hidden="1" customHeight="1">
      <c r="A37" s="226">
        <v>29</v>
      </c>
      <c r="B37" s="178"/>
      <c r="C37" s="112"/>
      <c r="D37" s="178"/>
      <c r="E37" s="112"/>
      <c r="F37" s="112"/>
      <c r="G37" s="171"/>
      <c r="H37" s="225"/>
      <c r="I37" s="302">
        <f>'summary sheet'!$E$2</f>
        <v>120</v>
      </c>
      <c r="J37" s="315">
        <f t="shared" si="19"/>
        <v>0</v>
      </c>
      <c r="K37" s="118">
        <v>0</v>
      </c>
      <c r="L37" s="118">
        <v>0</v>
      </c>
      <c r="M37" s="119">
        <v>0</v>
      </c>
      <c r="N37" s="54">
        <f t="shared" si="17"/>
        <v>0</v>
      </c>
      <c r="O37" s="55">
        <f t="shared" si="12"/>
        <v>0</v>
      </c>
      <c r="P37" s="55">
        <f t="shared" si="13"/>
        <v>0</v>
      </c>
      <c r="Q37" s="56">
        <f t="shared" si="18"/>
        <v>0</v>
      </c>
      <c r="R37" s="77">
        <f t="shared" si="11"/>
        <v>0</v>
      </c>
      <c r="S37" s="247" t="e">
        <f t="shared" si="7"/>
        <v>#DIV/0!</v>
      </c>
      <c r="T37" s="206" t="e">
        <f t="shared" si="4"/>
        <v>#DIV/0!</v>
      </c>
      <c r="U37" s="89"/>
    </row>
    <row r="38" spans="1:21" ht="13.2" hidden="1" customHeight="1">
      <c r="A38" s="226">
        <v>30</v>
      </c>
      <c r="B38" s="178"/>
      <c r="C38" s="112"/>
      <c r="D38" s="178"/>
      <c r="E38" s="112"/>
      <c r="F38" s="112"/>
      <c r="G38" s="171"/>
      <c r="H38" s="225"/>
      <c r="I38" s="302">
        <f>'summary sheet'!$E$2</f>
        <v>120</v>
      </c>
      <c r="J38" s="315">
        <f t="shared" si="19"/>
        <v>0</v>
      </c>
      <c r="K38" s="118">
        <v>0</v>
      </c>
      <c r="L38" s="118">
        <v>0</v>
      </c>
      <c r="M38" s="119">
        <v>0</v>
      </c>
      <c r="N38" s="54">
        <f t="shared" si="17"/>
        <v>0</v>
      </c>
      <c r="O38" s="55">
        <f t="shared" si="12"/>
        <v>0</v>
      </c>
      <c r="P38" s="55">
        <f t="shared" si="13"/>
        <v>0</v>
      </c>
      <c r="Q38" s="56">
        <f t="shared" si="18"/>
        <v>0</v>
      </c>
      <c r="R38" s="77">
        <f t="shared" si="11"/>
        <v>0</v>
      </c>
      <c r="S38" s="247" t="e">
        <f t="shared" si="7"/>
        <v>#DIV/0!</v>
      </c>
      <c r="T38" s="206" t="e">
        <f t="shared" si="4"/>
        <v>#DIV/0!</v>
      </c>
      <c r="U38" s="89"/>
    </row>
    <row r="39" spans="1:21" ht="13.2" hidden="1" customHeight="1">
      <c r="A39" s="226">
        <v>31</v>
      </c>
      <c r="B39" s="178"/>
      <c r="C39" s="112"/>
      <c r="D39" s="178"/>
      <c r="E39" s="112"/>
      <c r="F39" s="112"/>
      <c r="G39" s="171"/>
      <c r="H39" s="225"/>
      <c r="I39" s="302">
        <f>'summary sheet'!$E$2</f>
        <v>120</v>
      </c>
      <c r="J39" s="315">
        <f t="shared" si="19"/>
        <v>0</v>
      </c>
      <c r="K39" s="118">
        <v>0</v>
      </c>
      <c r="L39" s="118">
        <v>0</v>
      </c>
      <c r="M39" s="119">
        <v>0</v>
      </c>
      <c r="N39" s="54">
        <f t="shared" si="17"/>
        <v>0</v>
      </c>
      <c r="O39" s="55">
        <f t="shared" si="12"/>
        <v>0</v>
      </c>
      <c r="P39" s="55">
        <f t="shared" si="13"/>
        <v>0</v>
      </c>
      <c r="Q39" s="56">
        <f t="shared" si="18"/>
        <v>0</v>
      </c>
      <c r="R39" s="77">
        <f t="shared" si="11"/>
        <v>0</v>
      </c>
      <c r="S39" s="247" t="e">
        <f t="shared" si="7"/>
        <v>#DIV/0!</v>
      </c>
      <c r="T39" s="206" t="e">
        <f t="shared" si="4"/>
        <v>#DIV/0!</v>
      </c>
      <c r="U39" s="89"/>
    </row>
    <row r="40" spans="1:21" ht="13.2" hidden="1" customHeight="1">
      <c r="A40" s="226">
        <v>32</v>
      </c>
      <c r="B40" s="178"/>
      <c r="C40" s="112"/>
      <c r="D40" s="178"/>
      <c r="E40" s="112"/>
      <c r="F40" s="112"/>
      <c r="G40" s="171"/>
      <c r="H40" s="225"/>
      <c r="I40" s="302">
        <f>'summary sheet'!$E$2</f>
        <v>120</v>
      </c>
      <c r="J40" s="315">
        <f t="shared" si="19"/>
        <v>0</v>
      </c>
      <c r="K40" s="118">
        <v>0</v>
      </c>
      <c r="L40" s="118">
        <v>0</v>
      </c>
      <c r="M40" s="119">
        <v>0</v>
      </c>
      <c r="N40" s="54">
        <f t="shared" si="17"/>
        <v>0</v>
      </c>
      <c r="O40" s="55">
        <f t="shared" si="12"/>
        <v>0</v>
      </c>
      <c r="P40" s="55">
        <f t="shared" si="13"/>
        <v>0</v>
      </c>
      <c r="Q40" s="56">
        <f t="shared" si="18"/>
        <v>0</v>
      </c>
      <c r="R40" s="77">
        <f t="shared" si="11"/>
        <v>0</v>
      </c>
      <c r="S40" s="247" t="e">
        <f t="shared" si="7"/>
        <v>#DIV/0!</v>
      </c>
      <c r="T40" s="206" t="e">
        <f t="shared" si="4"/>
        <v>#DIV/0!</v>
      </c>
      <c r="U40" s="89"/>
    </row>
    <row r="41" spans="1:21" hidden="1">
      <c r="A41" s="226">
        <v>33</v>
      </c>
      <c r="B41" s="178"/>
      <c r="C41" s="112"/>
      <c r="D41" s="178"/>
      <c r="E41" s="112"/>
      <c r="F41" s="112"/>
      <c r="G41" s="171"/>
      <c r="H41" s="225"/>
      <c r="I41" s="302">
        <f>'summary sheet'!$E$2</f>
        <v>120</v>
      </c>
      <c r="J41" s="315">
        <f t="shared" si="19"/>
        <v>0</v>
      </c>
      <c r="K41" s="118">
        <v>0</v>
      </c>
      <c r="L41" s="118">
        <v>0</v>
      </c>
      <c r="M41" s="119">
        <v>0</v>
      </c>
      <c r="N41" s="54">
        <f t="shared" si="17"/>
        <v>0</v>
      </c>
      <c r="O41" s="55">
        <f t="shared" si="12"/>
        <v>0</v>
      </c>
      <c r="P41" s="55">
        <f t="shared" si="13"/>
        <v>0</v>
      </c>
      <c r="Q41" s="56">
        <f t="shared" si="18"/>
        <v>0</v>
      </c>
      <c r="R41" s="77">
        <f t="shared" si="11"/>
        <v>0</v>
      </c>
      <c r="S41" s="247" t="e">
        <f t="shared" si="7"/>
        <v>#DIV/0!</v>
      </c>
      <c r="T41" s="206" t="e">
        <f t="shared" si="4"/>
        <v>#DIV/0!</v>
      </c>
      <c r="U41" s="89"/>
    </row>
    <row r="42" spans="1:21" hidden="1">
      <c r="A42" s="226">
        <v>34</v>
      </c>
      <c r="B42" s="178"/>
      <c r="C42" s="112"/>
      <c r="D42" s="178"/>
      <c r="E42" s="112"/>
      <c r="F42" s="112"/>
      <c r="G42" s="171"/>
      <c r="H42" s="225"/>
      <c r="I42" s="302">
        <f>'summary sheet'!$E$2</f>
        <v>120</v>
      </c>
      <c r="J42" s="315">
        <f t="shared" si="19"/>
        <v>0</v>
      </c>
      <c r="K42" s="118">
        <v>0</v>
      </c>
      <c r="L42" s="118">
        <v>0</v>
      </c>
      <c r="M42" s="119">
        <v>0</v>
      </c>
      <c r="N42" s="54">
        <f t="shared" si="17"/>
        <v>0</v>
      </c>
      <c r="O42" s="55">
        <f t="shared" si="12"/>
        <v>0</v>
      </c>
      <c r="P42" s="55">
        <f t="shared" si="13"/>
        <v>0</v>
      </c>
      <c r="Q42" s="56">
        <f t="shared" si="18"/>
        <v>0</v>
      </c>
      <c r="R42" s="77">
        <f t="shared" si="11"/>
        <v>0</v>
      </c>
      <c r="S42" s="247" t="e">
        <f t="shared" si="7"/>
        <v>#DIV/0!</v>
      </c>
      <c r="T42" s="206" t="e">
        <f t="shared" si="4"/>
        <v>#DIV/0!</v>
      </c>
      <c r="U42" s="89"/>
    </row>
    <row r="43" spans="1:21" hidden="1">
      <c r="A43" s="226">
        <v>35</v>
      </c>
      <c r="B43" s="178"/>
      <c r="C43" s="112"/>
      <c r="D43" s="178"/>
      <c r="E43" s="112"/>
      <c r="F43" s="112"/>
      <c r="G43" s="171"/>
      <c r="H43" s="225"/>
      <c r="I43" s="302">
        <f>'summary sheet'!$E$2</f>
        <v>120</v>
      </c>
      <c r="J43" s="315">
        <f t="shared" si="19"/>
        <v>0</v>
      </c>
      <c r="K43" s="118">
        <v>0</v>
      </c>
      <c r="L43" s="118">
        <v>0</v>
      </c>
      <c r="M43" s="119">
        <v>0</v>
      </c>
      <c r="N43" s="54">
        <f t="shared" si="17"/>
        <v>0</v>
      </c>
      <c r="O43" s="55">
        <f t="shared" si="12"/>
        <v>0</v>
      </c>
      <c r="P43" s="55">
        <f t="shared" si="13"/>
        <v>0</v>
      </c>
      <c r="Q43" s="56">
        <f t="shared" si="18"/>
        <v>0</v>
      </c>
      <c r="R43" s="77">
        <f t="shared" si="11"/>
        <v>0</v>
      </c>
      <c r="S43" s="247" t="e">
        <f t="shared" si="7"/>
        <v>#DIV/0!</v>
      </c>
      <c r="T43" s="206" t="e">
        <f t="shared" si="4"/>
        <v>#DIV/0!</v>
      </c>
      <c r="U43" s="89"/>
    </row>
    <row r="44" spans="1:21" hidden="1">
      <c r="A44" s="226">
        <v>36</v>
      </c>
      <c r="B44" s="178"/>
      <c r="C44" s="112"/>
      <c r="D44" s="178"/>
      <c r="E44" s="112"/>
      <c r="F44" s="112"/>
      <c r="G44" s="171"/>
      <c r="H44" s="225"/>
      <c r="I44" s="302">
        <f>'summary sheet'!$E$2</f>
        <v>120</v>
      </c>
      <c r="J44" s="315">
        <f t="shared" si="19"/>
        <v>0</v>
      </c>
      <c r="K44" s="118">
        <v>0</v>
      </c>
      <c r="L44" s="118">
        <v>0</v>
      </c>
      <c r="M44" s="119">
        <v>0</v>
      </c>
      <c r="N44" s="54">
        <f t="shared" si="17"/>
        <v>0</v>
      </c>
      <c r="O44" s="55">
        <f t="shared" si="12"/>
        <v>0</v>
      </c>
      <c r="P44" s="55">
        <f t="shared" si="13"/>
        <v>0</v>
      </c>
      <c r="Q44" s="56">
        <f t="shared" si="18"/>
        <v>0</v>
      </c>
      <c r="R44" s="77">
        <f t="shared" si="11"/>
        <v>0</v>
      </c>
      <c r="S44" s="247" t="e">
        <f t="shared" si="7"/>
        <v>#DIV/0!</v>
      </c>
      <c r="T44" s="206" t="e">
        <f t="shared" si="4"/>
        <v>#DIV/0!</v>
      </c>
      <c r="U44" s="89"/>
    </row>
    <row r="45" spans="1:21" hidden="1">
      <c r="A45" s="226">
        <v>37</v>
      </c>
      <c r="B45" s="178"/>
      <c r="C45" s="112"/>
      <c r="D45" s="178"/>
      <c r="E45" s="112"/>
      <c r="F45" s="112"/>
      <c r="G45" s="171"/>
      <c r="H45" s="225"/>
      <c r="I45" s="302">
        <f>'summary sheet'!$E$2</f>
        <v>120</v>
      </c>
      <c r="J45" s="315">
        <f t="shared" si="19"/>
        <v>0</v>
      </c>
      <c r="K45" s="118">
        <v>0</v>
      </c>
      <c r="L45" s="118">
        <v>0</v>
      </c>
      <c r="M45" s="119">
        <v>0</v>
      </c>
      <c r="N45" s="54">
        <f t="shared" si="17"/>
        <v>0</v>
      </c>
      <c r="O45" s="55">
        <f t="shared" si="12"/>
        <v>0</v>
      </c>
      <c r="P45" s="55">
        <f t="shared" si="13"/>
        <v>0</v>
      </c>
      <c r="Q45" s="56">
        <f t="shared" si="18"/>
        <v>0</v>
      </c>
      <c r="R45" s="77">
        <f t="shared" si="11"/>
        <v>0</v>
      </c>
      <c r="S45" s="247" t="e">
        <f t="shared" si="7"/>
        <v>#DIV/0!</v>
      </c>
      <c r="T45" s="206" t="e">
        <f t="shared" si="4"/>
        <v>#DIV/0!</v>
      </c>
      <c r="U45" s="89"/>
    </row>
    <row r="46" spans="1:21" hidden="1">
      <c r="A46" s="226">
        <v>38</v>
      </c>
      <c r="B46" s="178"/>
      <c r="C46" s="112"/>
      <c r="D46" s="178"/>
      <c r="E46" s="112"/>
      <c r="F46" s="112"/>
      <c r="G46" s="171"/>
      <c r="H46" s="225"/>
      <c r="I46" s="302">
        <f>'summary sheet'!$E$2</f>
        <v>120</v>
      </c>
      <c r="J46" s="315">
        <f t="shared" si="19"/>
        <v>0</v>
      </c>
      <c r="K46" s="118">
        <v>0</v>
      </c>
      <c r="L46" s="118">
        <v>0</v>
      </c>
      <c r="M46" s="119">
        <v>0</v>
      </c>
      <c r="N46" s="54">
        <f t="shared" si="17"/>
        <v>0</v>
      </c>
      <c r="O46" s="55">
        <f t="shared" si="12"/>
        <v>0</v>
      </c>
      <c r="P46" s="55">
        <f t="shared" si="13"/>
        <v>0</v>
      </c>
      <c r="Q46" s="56">
        <f t="shared" si="18"/>
        <v>0</v>
      </c>
      <c r="R46" s="77">
        <f t="shared" si="11"/>
        <v>0</v>
      </c>
      <c r="S46" s="247" t="e">
        <f t="shared" si="7"/>
        <v>#DIV/0!</v>
      </c>
      <c r="T46" s="206" t="e">
        <f t="shared" si="4"/>
        <v>#DIV/0!</v>
      </c>
      <c r="U46" s="89"/>
    </row>
    <row r="47" spans="1:21" hidden="1">
      <c r="A47" s="226">
        <v>39</v>
      </c>
      <c r="B47" s="178"/>
      <c r="C47" s="112"/>
      <c r="D47" s="178"/>
      <c r="E47" s="112"/>
      <c r="F47" s="112"/>
      <c r="G47" s="171"/>
      <c r="H47" s="225"/>
      <c r="I47" s="301">
        <f>'summary sheet'!$E$2</f>
        <v>120</v>
      </c>
      <c r="J47" s="301">
        <f t="shared" si="5"/>
        <v>0</v>
      </c>
      <c r="K47" s="187">
        <v>0</v>
      </c>
      <c r="L47" s="187">
        <v>0</v>
      </c>
      <c r="M47" s="187">
        <v>0</v>
      </c>
      <c r="N47" s="54">
        <f t="shared" si="6"/>
        <v>0</v>
      </c>
      <c r="O47" s="55">
        <f t="shared" si="8"/>
        <v>0</v>
      </c>
      <c r="P47" s="55">
        <f t="shared" si="9"/>
        <v>0</v>
      </c>
      <c r="Q47" s="56">
        <f t="shared" si="10"/>
        <v>0</v>
      </c>
      <c r="R47" s="77">
        <f t="shared" si="11"/>
        <v>0</v>
      </c>
      <c r="S47" s="247" t="e">
        <f t="shared" si="7"/>
        <v>#DIV/0!</v>
      </c>
      <c r="T47" s="206" t="e">
        <f t="shared" si="4"/>
        <v>#DIV/0!</v>
      </c>
      <c r="U47" s="89"/>
    </row>
    <row r="48" spans="1:21" hidden="1">
      <c r="A48" s="226">
        <v>40</v>
      </c>
      <c r="B48" s="178"/>
      <c r="C48" s="112"/>
      <c r="D48" s="178"/>
      <c r="E48" s="112"/>
      <c r="F48" s="112"/>
      <c r="G48" s="171"/>
      <c r="H48" s="225"/>
      <c r="I48" s="301">
        <f>'summary sheet'!$E$2</f>
        <v>120</v>
      </c>
      <c r="J48" s="301">
        <f t="shared" si="5"/>
        <v>0</v>
      </c>
      <c r="K48" s="187">
        <v>0</v>
      </c>
      <c r="L48" s="187">
        <v>0</v>
      </c>
      <c r="M48" s="187">
        <v>0</v>
      </c>
      <c r="N48" s="54">
        <f t="shared" si="6"/>
        <v>0</v>
      </c>
      <c r="O48" s="55">
        <f t="shared" si="8"/>
        <v>0</v>
      </c>
      <c r="P48" s="55">
        <f t="shared" si="9"/>
        <v>0</v>
      </c>
      <c r="Q48" s="56">
        <f t="shared" si="10"/>
        <v>0</v>
      </c>
      <c r="R48" s="77">
        <f t="shared" si="11"/>
        <v>0</v>
      </c>
      <c r="S48" s="247" t="e">
        <f t="shared" si="7"/>
        <v>#DIV/0!</v>
      </c>
      <c r="T48" s="206" t="e">
        <f t="shared" si="4"/>
        <v>#DIV/0!</v>
      </c>
      <c r="U48" s="89"/>
    </row>
    <row r="49" spans="1:21" hidden="1">
      <c r="A49" s="226">
        <v>41</v>
      </c>
      <c r="B49" s="178"/>
      <c r="C49" s="112"/>
      <c r="D49" s="178"/>
      <c r="E49" s="112"/>
      <c r="F49" s="112"/>
      <c r="G49" s="171"/>
      <c r="H49" s="225"/>
      <c r="I49" s="301">
        <f>'summary sheet'!$E$2</f>
        <v>120</v>
      </c>
      <c r="J49" s="301">
        <f t="shared" si="5"/>
        <v>0</v>
      </c>
      <c r="K49" s="187">
        <v>0</v>
      </c>
      <c r="L49" s="187">
        <v>0</v>
      </c>
      <c r="M49" s="187">
        <v>0</v>
      </c>
      <c r="N49" s="54">
        <f t="shared" si="6"/>
        <v>0</v>
      </c>
      <c r="O49" s="55">
        <f t="shared" si="8"/>
        <v>0</v>
      </c>
      <c r="P49" s="55">
        <f t="shared" si="9"/>
        <v>0</v>
      </c>
      <c r="Q49" s="56">
        <f t="shared" si="10"/>
        <v>0</v>
      </c>
      <c r="R49" s="77">
        <f t="shared" si="11"/>
        <v>0</v>
      </c>
      <c r="S49" s="247" t="e">
        <f t="shared" si="7"/>
        <v>#DIV/0!</v>
      </c>
      <c r="T49" s="206" t="e">
        <f t="shared" si="4"/>
        <v>#DIV/0!</v>
      </c>
      <c r="U49" s="89"/>
    </row>
    <row r="50" spans="1:21" hidden="1">
      <c r="A50" s="226">
        <v>42</v>
      </c>
      <c r="B50" s="178"/>
      <c r="C50" s="112"/>
      <c r="D50" s="178"/>
      <c r="E50" s="112"/>
      <c r="F50" s="112"/>
      <c r="G50" s="171"/>
      <c r="H50" s="225"/>
      <c r="I50" s="301">
        <f>'summary sheet'!$E$2</f>
        <v>120</v>
      </c>
      <c r="J50" s="301">
        <f t="shared" si="5"/>
        <v>0</v>
      </c>
      <c r="K50" s="187">
        <v>0</v>
      </c>
      <c r="L50" s="187">
        <v>0</v>
      </c>
      <c r="M50" s="187">
        <v>0</v>
      </c>
      <c r="N50" s="54">
        <f t="shared" si="6"/>
        <v>0</v>
      </c>
      <c r="O50" s="55">
        <f t="shared" si="8"/>
        <v>0</v>
      </c>
      <c r="P50" s="55">
        <f t="shared" si="9"/>
        <v>0</v>
      </c>
      <c r="Q50" s="56">
        <f t="shared" si="10"/>
        <v>0</v>
      </c>
      <c r="R50" s="77">
        <f t="shared" si="11"/>
        <v>0</v>
      </c>
      <c r="S50" s="247" t="e">
        <f t="shared" si="7"/>
        <v>#DIV/0!</v>
      </c>
      <c r="T50" s="206" t="e">
        <f t="shared" si="4"/>
        <v>#DIV/0!</v>
      </c>
      <c r="U50" s="89"/>
    </row>
    <row r="51" spans="1:21" hidden="1">
      <c r="A51" s="226">
        <v>43</v>
      </c>
      <c r="B51" s="178"/>
      <c r="C51" s="112"/>
      <c r="D51" s="178"/>
      <c r="E51" s="112"/>
      <c r="F51" s="112"/>
      <c r="G51" s="171"/>
      <c r="H51" s="225"/>
      <c r="I51" s="301">
        <f>'summary sheet'!$E$2</f>
        <v>120</v>
      </c>
      <c r="J51" s="301">
        <f t="shared" si="5"/>
        <v>0</v>
      </c>
      <c r="K51" s="187">
        <v>0</v>
      </c>
      <c r="L51" s="187">
        <v>0</v>
      </c>
      <c r="M51" s="187">
        <v>0</v>
      </c>
      <c r="N51" s="54">
        <f t="shared" si="6"/>
        <v>0</v>
      </c>
      <c r="O51" s="55">
        <f t="shared" si="8"/>
        <v>0</v>
      </c>
      <c r="P51" s="55">
        <f t="shared" si="9"/>
        <v>0</v>
      </c>
      <c r="Q51" s="56">
        <f t="shared" si="10"/>
        <v>0</v>
      </c>
      <c r="R51" s="77">
        <f t="shared" si="11"/>
        <v>0</v>
      </c>
      <c r="S51" s="247" t="e">
        <f t="shared" si="7"/>
        <v>#DIV/0!</v>
      </c>
      <c r="T51" s="206" t="e">
        <f t="shared" si="4"/>
        <v>#DIV/0!</v>
      </c>
      <c r="U51" s="89"/>
    </row>
    <row r="52" spans="1:21" hidden="1">
      <c r="A52" s="226">
        <v>44</v>
      </c>
      <c r="B52" s="178"/>
      <c r="C52" s="112"/>
      <c r="D52" s="178"/>
      <c r="E52" s="112"/>
      <c r="F52" s="112"/>
      <c r="G52" s="171"/>
      <c r="H52" s="225"/>
      <c r="I52" s="301">
        <f>'summary sheet'!$E$2</f>
        <v>120</v>
      </c>
      <c r="J52" s="301">
        <f t="shared" si="5"/>
        <v>0</v>
      </c>
      <c r="K52" s="187">
        <v>0</v>
      </c>
      <c r="L52" s="187">
        <v>0</v>
      </c>
      <c r="M52" s="187">
        <v>0</v>
      </c>
      <c r="N52" s="54">
        <f t="shared" si="6"/>
        <v>0</v>
      </c>
      <c r="O52" s="55">
        <f t="shared" si="8"/>
        <v>0</v>
      </c>
      <c r="P52" s="55">
        <f t="shared" si="9"/>
        <v>0</v>
      </c>
      <c r="Q52" s="56">
        <f t="shared" si="10"/>
        <v>0</v>
      </c>
      <c r="R52" s="77">
        <f t="shared" si="11"/>
        <v>0</v>
      </c>
      <c r="S52" s="247" t="e">
        <f t="shared" si="7"/>
        <v>#DIV/0!</v>
      </c>
      <c r="T52" s="206" t="e">
        <f t="shared" si="4"/>
        <v>#DIV/0!</v>
      </c>
      <c r="U52" s="89"/>
    </row>
    <row r="53" spans="1:21" hidden="1">
      <c r="A53" s="226">
        <v>45</v>
      </c>
      <c r="B53" s="178"/>
      <c r="C53" s="112"/>
      <c r="D53" s="178"/>
      <c r="E53" s="112"/>
      <c r="F53" s="112"/>
      <c r="G53" s="171"/>
      <c r="H53" s="225"/>
      <c r="I53" s="301">
        <f>'summary sheet'!$E$2</f>
        <v>120</v>
      </c>
      <c r="J53" s="301">
        <f t="shared" si="5"/>
        <v>0</v>
      </c>
      <c r="K53" s="187">
        <v>0</v>
      </c>
      <c r="L53" s="187">
        <v>0</v>
      </c>
      <c r="M53" s="187">
        <v>0</v>
      </c>
      <c r="N53" s="54">
        <f t="shared" si="6"/>
        <v>0</v>
      </c>
      <c r="O53" s="55">
        <f t="shared" si="8"/>
        <v>0</v>
      </c>
      <c r="P53" s="55">
        <f t="shared" si="9"/>
        <v>0</v>
      </c>
      <c r="Q53" s="56">
        <f t="shared" si="10"/>
        <v>0</v>
      </c>
      <c r="R53" s="77">
        <f t="shared" si="11"/>
        <v>0</v>
      </c>
      <c r="S53" s="247" t="e">
        <f t="shared" si="7"/>
        <v>#DIV/0!</v>
      </c>
      <c r="T53" s="206" t="e">
        <f t="shared" si="4"/>
        <v>#DIV/0!</v>
      </c>
      <c r="U53" s="89"/>
    </row>
    <row r="54" spans="1:21" hidden="1">
      <c r="A54" s="226">
        <v>46</v>
      </c>
      <c r="B54" s="178"/>
      <c r="C54" s="112"/>
      <c r="D54" s="178"/>
      <c r="E54" s="112"/>
      <c r="F54" s="112"/>
      <c r="G54" s="171"/>
      <c r="H54" s="225"/>
      <c r="I54" s="301">
        <f>'summary sheet'!$E$2</f>
        <v>120</v>
      </c>
      <c r="J54" s="301">
        <f t="shared" si="5"/>
        <v>0</v>
      </c>
      <c r="K54" s="187">
        <v>0</v>
      </c>
      <c r="L54" s="187">
        <v>0</v>
      </c>
      <c r="M54" s="187">
        <v>0</v>
      </c>
      <c r="N54" s="54">
        <f t="shared" si="6"/>
        <v>0</v>
      </c>
      <c r="O54" s="55">
        <f t="shared" si="8"/>
        <v>0</v>
      </c>
      <c r="P54" s="55">
        <f t="shared" si="9"/>
        <v>0</v>
      </c>
      <c r="Q54" s="56">
        <f t="shared" si="10"/>
        <v>0</v>
      </c>
      <c r="R54" s="77">
        <f t="shared" si="11"/>
        <v>0</v>
      </c>
      <c r="S54" s="247" t="e">
        <f t="shared" si="7"/>
        <v>#DIV/0!</v>
      </c>
      <c r="T54" s="206" t="e">
        <f t="shared" si="4"/>
        <v>#DIV/0!</v>
      </c>
      <c r="U54" s="89"/>
    </row>
    <row r="55" spans="1:21" hidden="1">
      <c r="A55" s="226">
        <v>47</v>
      </c>
      <c r="B55" s="178"/>
      <c r="C55" s="112"/>
      <c r="D55" s="178"/>
      <c r="E55" s="112"/>
      <c r="F55" s="112"/>
      <c r="G55" s="171"/>
      <c r="H55" s="225"/>
      <c r="I55" s="301">
        <f>'summary sheet'!$E$2</f>
        <v>120</v>
      </c>
      <c r="J55" s="301">
        <f t="shared" si="5"/>
        <v>0</v>
      </c>
      <c r="K55" s="187">
        <v>0</v>
      </c>
      <c r="L55" s="187">
        <v>0</v>
      </c>
      <c r="M55" s="187">
        <v>0</v>
      </c>
      <c r="N55" s="54">
        <f t="shared" si="6"/>
        <v>0</v>
      </c>
      <c r="O55" s="55">
        <f t="shared" si="8"/>
        <v>0</v>
      </c>
      <c r="P55" s="55">
        <f t="shared" si="9"/>
        <v>0</v>
      </c>
      <c r="Q55" s="56">
        <f t="shared" si="10"/>
        <v>0</v>
      </c>
      <c r="R55" s="77">
        <f t="shared" si="11"/>
        <v>0</v>
      </c>
      <c r="S55" s="247" t="e">
        <f t="shared" si="7"/>
        <v>#DIV/0!</v>
      </c>
      <c r="T55" s="206" t="e">
        <f t="shared" si="4"/>
        <v>#DIV/0!</v>
      </c>
      <c r="U55" s="89"/>
    </row>
    <row r="56" spans="1:21" hidden="1">
      <c r="A56" s="226">
        <v>48</v>
      </c>
      <c r="B56" s="178"/>
      <c r="C56" s="112"/>
      <c r="D56" s="178"/>
      <c r="E56" s="112"/>
      <c r="F56" s="112"/>
      <c r="G56" s="171"/>
      <c r="H56" s="225"/>
      <c r="I56" s="301">
        <f>'summary sheet'!$E$2</f>
        <v>120</v>
      </c>
      <c r="J56" s="301">
        <f t="shared" si="5"/>
        <v>0</v>
      </c>
      <c r="K56" s="187">
        <v>0</v>
      </c>
      <c r="L56" s="187">
        <v>0</v>
      </c>
      <c r="M56" s="187">
        <v>0</v>
      </c>
      <c r="N56" s="54">
        <f t="shared" si="6"/>
        <v>0</v>
      </c>
      <c r="O56" s="55">
        <f t="shared" si="8"/>
        <v>0</v>
      </c>
      <c r="P56" s="55">
        <f t="shared" si="9"/>
        <v>0</v>
      </c>
      <c r="Q56" s="56">
        <f t="shared" si="10"/>
        <v>0</v>
      </c>
      <c r="R56" s="77">
        <f t="shared" si="11"/>
        <v>0</v>
      </c>
      <c r="S56" s="247" t="e">
        <f t="shared" si="7"/>
        <v>#DIV/0!</v>
      </c>
      <c r="T56" s="206" t="e">
        <f t="shared" si="4"/>
        <v>#DIV/0!</v>
      </c>
      <c r="U56" s="89"/>
    </row>
    <row r="57" spans="1:21" hidden="1">
      <c r="A57" s="226">
        <v>49</v>
      </c>
      <c r="B57" s="178"/>
      <c r="C57" s="112"/>
      <c r="D57" s="178"/>
      <c r="E57" s="112"/>
      <c r="F57" s="112"/>
      <c r="G57" s="171"/>
      <c r="H57" s="225"/>
      <c r="I57" s="301">
        <f>'summary sheet'!$E$2</f>
        <v>120</v>
      </c>
      <c r="J57" s="301">
        <f t="shared" si="5"/>
        <v>0</v>
      </c>
      <c r="K57" s="187">
        <v>0</v>
      </c>
      <c r="L57" s="187">
        <v>0</v>
      </c>
      <c r="M57" s="187">
        <v>0</v>
      </c>
      <c r="N57" s="54">
        <f t="shared" si="6"/>
        <v>0</v>
      </c>
      <c r="O57" s="55">
        <f t="shared" si="8"/>
        <v>0</v>
      </c>
      <c r="P57" s="55">
        <f t="shared" si="9"/>
        <v>0</v>
      </c>
      <c r="Q57" s="56">
        <f t="shared" si="10"/>
        <v>0</v>
      </c>
      <c r="R57" s="77">
        <f t="shared" si="11"/>
        <v>0</v>
      </c>
      <c r="S57" s="247" t="e">
        <f t="shared" si="7"/>
        <v>#DIV/0!</v>
      </c>
      <c r="T57" s="206" t="e">
        <f t="shared" si="4"/>
        <v>#DIV/0!</v>
      </c>
      <c r="U57" s="89"/>
    </row>
    <row r="58" spans="1:21" ht="13.8" hidden="1" thickBot="1">
      <c r="A58" s="226">
        <v>50</v>
      </c>
      <c r="B58" s="178"/>
      <c r="C58" s="112"/>
      <c r="D58" s="178"/>
      <c r="E58" s="112"/>
      <c r="F58" s="112"/>
      <c r="G58" s="171"/>
      <c r="H58" s="225"/>
      <c r="I58" s="301">
        <f>'summary sheet'!$E$2</f>
        <v>120</v>
      </c>
      <c r="J58" s="301">
        <f t="shared" si="5"/>
        <v>0</v>
      </c>
      <c r="K58" s="187">
        <v>0</v>
      </c>
      <c r="L58" s="187">
        <v>0</v>
      </c>
      <c r="M58" s="187">
        <v>0</v>
      </c>
      <c r="N58" s="54">
        <f t="shared" si="6"/>
        <v>0</v>
      </c>
      <c r="O58" s="55">
        <f t="shared" si="8"/>
        <v>0</v>
      </c>
      <c r="P58" s="55">
        <f t="shared" si="9"/>
        <v>0</v>
      </c>
      <c r="Q58" s="56">
        <f t="shared" si="10"/>
        <v>0</v>
      </c>
      <c r="R58" s="77">
        <f t="shared" si="11"/>
        <v>0</v>
      </c>
      <c r="S58" s="247" t="e">
        <f t="shared" si="7"/>
        <v>#DIV/0!</v>
      </c>
      <c r="T58" s="206" t="e">
        <f t="shared" si="4"/>
        <v>#DIV/0!</v>
      </c>
      <c r="U58" s="89"/>
    </row>
    <row r="59" spans="1:21" ht="14.4" customHeight="1" thickBot="1">
      <c r="A59" s="325" t="s">
        <v>25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57">
        <f>SUM(N9:N58)</f>
        <v>0</v>
      </c>
      <c r="O59" s="58">
        <f>SUM(O9:O58)</f>
        <v>0</v>
      </c>
      <c r="P59" s="59">
        <f>SUM(P9:P58)</f>
        <v>0</v>
      </c>
      <c r="Q59" s="60">
        <f>SUM(Q9:Q58)</f>
        <v>0</v>
      </c>
      <c r="R59" s="77">
        <f>SUM(N59:Q59)</f>
        <v>0</v>
      </c>
      <c r="S59" s="207" t="e">
        <f>SUM(S9:S58)</f>
        <v>#DIV/0!</v>
      </c>
      <c r="T59" s="207"/>
      <c r="U59" s="90">
        <f>SUM(R9:R58)-R59</f>
        <v>0</v>
      </c>
    </row>
    <row r="60" spans="1:21" ht="14.4" customHeight="1" thickTop="1" thickBot="1">
      <c r="A60" s="325" t="s">
        <v>22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31"/>
      <c r="O60" s="331"/>
      <c r="P60" s="331"/>
      <c r="Q60" s="332"/>
      <c r="R60" s="77">
        <f>SUM(O59+P59)*U60</f>
        <v>0</v>
      </c>
      <c r="S60" s="207"/>
      <c r="T60" s="207"/>
      <c r="U60" s="184">
        <f>'summary sheet'!E1</f>
        <v>9.7500000000000003E-2</v>
      </c>
    </row>
    <row r="61" spans="1:21" ht="14.4" thickTop="1" thickBot="1">
      <c r="A61" s="325" t="s">
        <v>17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7"/>
      <c r="O61" s="327"/>
      <c r="P61" s="327"/>
      <c r="Q61" s="327"/>
      <c r="R61" s="78">
        <f>SUM(R59:R60)</f>
        <v>0</v>
      </c>
      <c r="S61" s="208"/>
      <c r="T61" s="208"/>
    </row>
    <row r="62" spans="1:21" ht="13.8" thickTop="1">
      <c r="A62" s="39"/>
      <c r="B62" s="172"/>
      <c r="C62" s="39"/>
      <c r="D62" s="172"/>
      <c r="E62" s="39"/>
      <c r="F62" s="39"/>
      <c r="G62" s="172"/>
      <c r="H62" s="172"/>
      <c r="I62" s="197"/>
      <c r="J62" s="197"/>
      <c r="K62" s="197"/>
      <c r="L62" s="197"/>
      <c r="M62" s="197"/>
      <c r="N62" s="66" t="s">
        <v>2</v>
      </c>
      <c r="O62" s="44" t="s">
        <v>3</v>
      </c>
      <c r="P62" s="45" t="s">
        <v>4</v>
      </c>
      <c r="Q62" s="46" t="s">
        <v>16</v>
      </c>
      <c r="R62" s="79"/>
      <c r="S62" s="209"/>
      <c r="T62" s="209"/>
    </row>
    <row r="63" spans="1:21" ht="13.8" thickBot="1">
      <c r="A63" s="39"/>
      <c r="B63" s="172"/>
      <c r="C63" s="39"/>
      <c r="D63" s="172"/>
      <c r="E63" s="39"/>
      <c r="F63" s="39"/>
      <c r="G63" s="172"/>
      <c r="H63" s="172"/>
      <c r="I63" s="197"/>
      <c r="J63" s="197"/>
      <c r="K63" s="197"/>
      <c r="L63" s="197"/>
      <c r="M63" s="197"/>
      <c r="N63" s="67"/>
      <c r="O63" s="42"/>
      <c r="P63" s="43"/>
      <c r="Q63" s="47"/>
      <c r="R63" s="80"/>
      <c r="S63" s="210"/>
      <c r="T63" s="210"/>
    </row>
    <row r="64" spans="1:21" ht="13.8" thickTop="1">
      <c r="A64" s="39"/>
      <c r="B64" s="172"/>
      <c r="C64" s="39"/>
      <c r="D64" s="172"/>
      <c r="E64" s="39"/>
      <c r="F64" s="39"/>
      <c r="G64" s="172"/>
      <c r="H64" s="172"/>
      <c r="I64" s="197"/>
      <c r="J64" s="197"/>
      <c r="K64" s="197"/>
      <c r="L64" s="197"/>
      <c r="M64" s="197"/>
      <c r="N64" s="113" t="s">
        <v>58</v>
      </c>
      <c r="O64" s="286">
        <v>1</v>
      </c>
      <c r="P64" s="115" t="s">
        <v>14</v>
      </c>
      <c r="Q64" s="288">
        <v>0</v>
      </c>
      <c r="R64" s="38">
        <f t="shared" ref="R64" si="20">SUM(O64)*Q64</f>
        <v>0</v>
      </c>
      <c r="S64" s="211"/>
      <c r="T64" s="211"/>
    </row>
    <row r="65" spans="1:21">
      <c r="A65" s="39"/>
      <c r="B65" s="172"/>
      <c r="C65" s="39"/>
      <c r="D65" s="172"/>
      <c r="E65" s="39"/>
      <c r="F65" s="39"/>
      <c r="G65" s="172"/>
      <c r="H65" s="172"/>
      <c r="I65" s="197"/>
      <c r="J65" s="197"/>
      <c r="K65" s="197"/>
      <c r="L65" s="197"/>
      <c r="M65" s="197"/>
      <c r="N65" s="113" t="s">
        <v>72</v>
      </c>
      <c r="O65" s="286">
        <v>1</v>
      </c>
      <c r="P65" s="115" t="s">
        <v>14</v>
      </c>
      <c r="Q65" s="288">
        <f>N59*0.1</f>
        <v>0</v>
      </c>
      <c r="R65" s="38">
        <f>SUM(O65)*Q65</f>
        <v>0</v>
      </c>
      <c r="S65" s="211"/>
      <c r="T65" s="211"/>
    </row>
    <row r="66" spans="1:21" ht="21">
      <c r="A66" s="39"/>
      <c r="B66" s="172"/>
      <c r="C66" s="39"/>
      <c r="D66" s="172"/>
      <c r="E66" s="39"/>
      <c r="F66" s="39"/>
      <c r="G66" s="172"/>
      <c r="H66" s="172"/>
      <c r="I66" s="197"/>
      <c r="J66" s="197"/>
      <c r="K66" s="197"/>
      <c r="L66" s="197"/>
      <c r="M66" s="197"/>
      <c r="N66" s="116" t="s">
        <v>56</v>
      </c>
      <c r="O66" s="286" t="str">
        <f>IF(N59=0,"0",1)</f>
        <v>0</v>
      </c>
      <c r="P66" s="115" t="s">
        <v>14</v>
      </c>
      <c r="Q66" s="288">
        <f>O59*0.02</f>
        <v>0</v>
      </c>
      <c r="R66" s="38">
        <f>SUM(O66)*Q66</f>
        <v>0</v>
      </c>
      <c r="S66" s="211"/>
      <c r="T66" s="211"/>
    </row>
    <row r="67" spans="1:21">
      <c r="N67" s="117" t="s">
        <v>86</v>
      </c>
      <c r="O67" s="114">
        <v>0</v>
      </c>
      <c r="P67" s="115" t="s">
        <v>28</v>
      </c>
      <c r="Q67" s="288">
        <f>'summary sheet'!$E$2*8</f>
        <v>960</v>
      </c>
      <c r="R67" s="38">
        <f t="shared" ref="R67:R69" si="21">SUM(O67)*Q67</f>
        <v>0</v>
      </c>
      <c r="S67" s="211"/>
      <c r="T67" s="211"/>
    </row>
    <row r="68" spans="1:21" ht="21">
      <c r="N68" s="117" t="s">
        <v>26</v>
      </c>
      <c r="O68" s="114">
        <v>0</v>
      </c>
      <c r="P68" s="115" t="s">
        <v>28</v>
      </c>
      <c r="Q68" s="288">
        <f>'summary sheet'!$E$2*8</f>
        <v>960</v>
      </c>
      <c r="R68" s="38">
        <f t="shared" si="21"/>
        <v>0</v>
      </c>
      <c r="S68" s="211"/>
      <c r="T68" s="211"/>
    </row>
    <row r="69" spans="1:21">
      <c r="N69" s="117" t="s">
        <v>27</v>
      </c>
      <c r="O69" s="287">
        <f>N59/655</f>
        <v>0</v>
      </c>
      <c r="P69" s="115" t="s">
        <v>28</v>
      </c>
      <c r="Q69" s="288">
        <v>0</v>
      </c>
      <c r="R69" s="38">
        <f t="shared" si="21"/>
        <v>0</v>
      </c>
      <c r="S69" s="211"/>
      <c r="T69" s="211"/>
    </row>
    <row r="70" spans="1:21">
      <c r="N70" s="68" t="s">
        <v>39</v>
      </c>
      <c r="O70" s="69"/>
      <c r="P70" s="70"/>
      <c r="Q70" s="65"/>
      <c r="R70" s="81">
        <f>SUM(R61,R64:R69)</f>
        <v>0</v>
      </c>
      <c r="S70" s="212"/>
      <c r="T70" s="212"/>
    </row>
    <row r="71" spans="1:21">
      <c r="N71" s="64" t="s">
        <v>0</v>
      </c>
      <c r="O71" s="61"/>
      <c r="P71" s="62"/>
      <c r="Q71" s="289">
        <f>'summary sheet'!$E$3</f>
        <v>0.03</v>
      </c>
      <c r="R71" s="38">
        <f>SUM(O59)*Q71</f>
        <v>0</v>
      </c>
      <c r="S71" s="211"/>
      <c r="T71" s="211"/>
    </row>
    <row r="72" spans="1:21">
      <c r="D72" s="175"/>
      <c r="N72" s="63" t="s">
        <v>52</v>
      </c>
      <c r="O72" s="61"/>
      <c r="P72" s="62"/>
      <c r="Q72" s="289">
        <f>'summary sheet'!$E$4</f>
        <v>0.08</v>
      </c>
      <c r="R72" s="38">
        <f>SUM(R70)*Q72</f>
        <v>0</v>
      </c>
      <c r="S72" s="211"/>
      <c r="T72" s="211"/>
    </row>
    <row r="73" spans="1:21">
      <c r="D73" s="175"/>
      <c r="N73" s="68" t="s">
        <v>39</v>
      </c>
      <c r="O73" s="69"/>
      <c r="P73" s="70"/>
      <c r="Q73" s="65"/>
      <c r="R73" s="81">
        <f>SUM(R70:R72)</f>
        <v>0</v>
      </c>
      <c r="S73" s="212"/>
      <c r="T73" s="212"/>
    </row>
    <row r="74" spans="1:21">
      <c r="D74" s="175"/>
      <c r="N74" s="64" t="s">
        <v>54</v>
      </c>
      <c r="O74" s="62"/>
      <c r="P74" s="62"/>
      <c r="Q74" s="289">
        <v>0.12</v>
      </c>
      <c r="R74" s="38">
        <f>SUM(R73)*Q74</f>
        <v>0</v>
      </c>
      <c r="S74" s="211"/>
      <c r="T74" s="211"/>
    </row>
    <row r="75" spans="1:21">
      <c r="D75" s="175"/>
      <c r="N75" s="68" t="s">
        <v>39</v>
      </c>
      <c r="O75" s="69"/>
      <c r="P75" s="70"/>
      <c r="Q75" s="65"/>
      <c r="R75" s="81">
        <f>SUM(R73:R74)</f>
        <v>0</v>
      </c>
      <c r="S75" s="213" t="e">
        <f>SUM(S9:S58)</f>
        <v>#DIV/0!</v>
      </c>
    </row>
    <row r="76" spans="1:21">
      <c r="D76" s="175"/>
      <c r="N76" s="64" t="s">
        <v>87</v>
      </c>
      <c r="O76" s="62"/>
      <c r="P76" s="254"/>
      <c r="Q76" s="290">
        <f>'summary sheet'!$E$5</f>
        <v>6.0000000000000001E-3</v>
      </c>
      <c r="R76" s="38">
        <f>SUM(R75)*Q76</f>
        <v>0</v>
      </c>
      <c r="S76" s="52"/>
      <c r="U76" s="91"/>
    </row>
    <row r="77" spans="1:21">
      <c r="N77" s="68" t="s">
        <v>39</v>
      </c>
      <c r="O77" s="69"/>
      <c r="P77" s="70"/>
      <c r="Q77" s="65"/>
      <c r="R77" s="81">
        <f>SUM(R75:R76)</f>
        <v>0</v>
      </c>
      <c r="S77" s="98" t="e">
        <f>R75-S75</f>
        <v>#DIV/0!</v>
      </c>
    </row>
    <row r="78" spans="1:21" ht="13.8" thickBot="1">
      <c r="N78" s="64" t="s">
        <v>88</v>
      </c>
      <c r="O78" s="62"/>
      <c r="P78" s="255"/>
      <c r="Q78" s="290">
        <f>'summary sheet'!$E$6</f>
        <v>1.2500000000000001E-2</v>
      </c>
      <c r="R78" s="38">
        <f>SUM(R77)*Q78</f>
        <v>0</v>
      </c>
      <c r="S78" s="52"/>
      <c r="T78" s="52"/>
    </row>
    <row r="79" spans="1:21" ht="14.4" thickTop="1" thickBot="1">
      <c r="N79" s="180" t="s">
        <v>38</v>
      </c>
      <c r="O79" s="181"/>
      <c r="P79" s="181"/>
      <c r="Q79" s="182"/>
      <c r="R79" s="183">
        <f>+R77+R78</f>
        <v>0</v>
      </c>
      <c r="S79" s="52"/>
      <c r="T79" s="52"/>
    </row>
    <row r="80" spans="1:21" ht="13.8" thickTop="1"/>
    <row r="100" spans="3:7" hidden="1">
      <c r="D100" s="217"/>
      <c r="E100" s="49" t="s">
        <v>68</v>
      </c>
    </row>
    <row r="101" spans="3:7" hidden="1">
      <c r="D101" s="217"/>
      <c r="E101" s="49" t="s">
        <v>69</v>
      </c>
      <c r="F101" s="49" t="s">
        <v>70</v>
      </c>
    </row>
    <row r="102" spans="3:7" hidden="1">
      <c r="C102" s="49" t="s">
        <v>71</v>
      </c>
      <c r="D102" s="217"/>
      <c r="E102" s="230">
        <f>N59+R67+R68</f>
        <v>0</v>
      </c>
    </row>
    <row r="103" spans="3:7" hidden="1">
      <c r="C103" s="49" t="s">
        <v>72</v>
      </c>
      <c r="D103" s="217"/>
      <c r="E103" s="230">
        <f>R65</f>
        <v>0</v>
      </c>
      <c r="F103" s="230"/>
    </row>
    <row r="104" spans="3:7" hidden="1">
      <c r="C104" s="49" t="s">
        <v>73</v>
      </c>
      <c r="D104" s="217"/>
      <c r="E104" s="230">
        <f>R66</f>
        <v>0</v>
      </c>
      <c r="F104" s="230">
        <f>O59+P59+R60+R71</f>
        <v>0</v>
      </c>
    </row>
    <row r="105" spans="3:7" hidden="1">
      <c r="C105" s="49" t="s">
        <v>74</v>
      </c>
      <c r="D105" s="217"/>
      <c r="E105" s="230">
        <f>R64</f>
        <v>0</v>
      </c>
      <c r="F105" s="230">
        <v>0</v>
      </c>
    </row>
    <row r="106" spans="3:7" hidden="1">
      <c r="C106" s="49" t="s">
        <v>75</v>
      </c>
      <c r="D106" s="217"/>
      <c r="E106" s="230">
        <f>IF($E$102=0,0,R72-F106)</f>
        <v>0</v>
      </c>
      <c r="F106" s="230">
        <f>SUM(F104:F105)*Q72</f>
        <v>0</v>
      </c>
    </row>
    <row r="107" spans="3:7" hidden="1">
      <c r="C107" s="49" t="s">
        <v>76</v>
      </c>
      <c r="D107" s="217"/>
      <c r="E107" s="230">
        <f>SUM(E102:E106)*Q74</f>
        <v>0</v>
      </c>
      <c r="F107" s="230">
        <f>SUM(F103:F106)*Q74</f>
        <v>0</v>
      </c>
    </row>
    <row r="108" spans="3:7" hidden="1">
      <c r="C108" s="49" t="s">
        <v>77</v>
      </c>
      <c r="D108" s="217"/>
      <c r="E108" s="230">
        <f>SUM(E102:E107)</f>
        <v>0</v>
      </c>
      <c r="F108" s="230">
        <f>SUM(F103:F107)</f>
        <v>0</v>
      </c>
    </row>
    <row r="109" spans="3:7" hidden="1">
      <c r="C109" s="49" t="s">
        <v>78</v>
      </c>
      <c r="D109" s="217"/>
      <c r="E109" s="230">
        <f>F108</f>
        <v>0</v>
      </c>
      <c r="F109" s="230"/>
    </row>
    <row r="110" spans="3:7" hidden="1">
      <c r="C110" s="49" t="s">
        <v>79</v>
      </c>
      <c r="D110" s="217"/>
      <c r="E110" s="230">
        <f>E108+F108</f>
        <v>0</v>
      </c>
      <c r="F110" s="231">
        <f>E110-R79+R76+R78</f>
        <v>0</v>
      </c>
      <c r="G110" s="169" t="s">
        <v>80</v>
      </c>
    </row>
  </sheetData>
  <mergeCells count="6">
    <mergeCell ref="T7:T8"/>
    <mergeCell ref="A5:B5"/>
    <mergeCell ref="A59:M59"/>
    <mergeCell ref="A60:Q60"/>
    <mergeCell ref="A61:Q61"/>
    <mergeCell ref="S7:S8"/>
  </mergeCells>
  <pageMargins left="0.7" right="0.7" top="0.75" bottom="0.75" header="0.3" footer="0.3"/>
  <pageSetup scale="48" fitToHeight="2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E48"/>
  <sheetViews>
    <sheetView workbookViewId="0">
      <selection activeCell="B56" sqref="B56"/>
    </sheetView>
  </sheetViews>
  <sheetFormatPr defaultColWidth="8.88671875" defaultRowHeight="14.4"/>
  <cols>
    <col min="1" max="1" width="41.88671875" customWidth="1"/>
    <col min="2" max="3" width="15.33203125" customWidth="1"/>
    <col min="4" max="4" width="18.88671875" customWidth="1"/>
  </cols>
  <sheetData>
    <row r="1" spans="1:5">
      <c r="A1" s="120" t="s">
        <v>42</v>
      </c>
      <c r="B1" s="49"/>
      <c r="C1" s="49"/>
      <c r="D1" s="49"/>
      <c r="E1" s="49"/>
    </row>
    <row r="2" spans="1:5">
      <c r="A2" s="120" t="s">
        <v>43</v>
      </c>
      <c r="B2" s="49"/>
      <c r="C2" s="49"/>
      <c r="D2" s="49"/>
      <c r="E2" s="49"/>
    </row>
    <row r="3" spans="1:5">
      <c r="A3" s="120" t="s">
        <v>34</v>
      </c>
      <c r="B3" s="49"/>
      <c r="C3" s="49"/>
      <c r="D3" s="49"/>
      <c r="E3" s="49"/>
    </row>
    <row r="4" spans="1:5">
      <c r="A4" s="120" t="s">
        <v>41</v>
      </c>
      <c r="B4" s="50"/>
      <c r="C4" s="49"/>
      <c r="D4" s="49"/>
      <c r="E4" s="49"/>
    </row>
    <row r="5" spans="1:5" ht="15" thickBot="1">
      <c r="A5" s="121">
        <f ca="1">NOW()</f>
        <v>45940.587119212963</v>
      </c>
      <c r="B5" s="50"/>
      <c r="C5" s="49"/>
      <c r="D5" s="49"/>
      <c r="E5" s="49"/>
    </row>
    <row r="6" spans="1:5">
      <c r="A6" s="146"/>
      <c r="B6" s="131"/>
      <c r="C6" s="137"/>
      <c r="D6" s="134"/>
    </row>
    <row r="7" spans="1:5">
      <c r="A7" s="147" t="s">
        <v>2</v>
      </c>
      <c r="B7" s="132" t="s">
        <v>44</v>
      </c>
      <c r="C7" s="138" t="s">
        <v>45</v>
      </c>
      <c r="D7" s="135" t="s">
        <v>46</v>
      </c>
    </row>
    <row r="8" spans="1:5" ht="15" thickBot="1">
      <c r="A8" s="148"/>
      <c r="B8" s="133"/>
      <c r="C8" s="139"/>
      <c r="D8" s="136"/>
    </row>
    <row r="9" spans="1:5">
      <c r="A9" s="147"/>
      <c r="B9" s="149"/>
      <c r="C9" s="126"/>
      <c r="D9" s="150">
        <f>SUM(B9)-C9</f>
        <v>0</v>
      </c>
    </row>
    <row r="10" spans="1:5">
      <c r="A10" s="147"/>
      <c r="B10" s="151"/>
      <c r="C10" s="122"/>
      <c r="D10" s="152">
        <f t="shared" ref="D10:D47" si="0">SUM(B10)-C10</f>
        <v>0</v>
      </c>
    </row>
    <row r="11" spans="1:5">
      <c r="A11" s="147"/>
      <c r="B11" s="151"/>
      <c r="C11" s="122"/>
      <c r="D11" s="152">
        <f t="shared" si="0"/>
        <v>0</v>
      </c>
    </row>
    <row r="12" spans="1:5">
      <c r="A12" s="147"/>
      <c r="B12" s="151"/>
      <c r="C12" s="122"/>
      <c r="D12" s="152">
        <f t="shared" si="0"/>
        <v>0</v>
      </c>
    </row>
    <row r="13" spans="1:5">
      <c r="A13" s="147"/>
      <c r="B13" s="151"/>
      <c r="C13" s="122"/>
      <c r="D13" s="152">
        <f t="shared" si="0"/>
        <v>0</v>
      </c>
    </row>
    <row r="14" spans="1:5">
      <c r="A14" s="147"/>
      <c r="B14" s="151"/>
      <c r="C14" s="122"/>
      <c r="D14" s="152">
        <f t="shared" si="0"/>
        <v>0</v>
      </c>
    </row>
    <row r="15" spans="1:5">
      <c r="A15" s="147"/>
      <c r="B15" s="151"/>
      <c r="C15" s="122"/>
      <c r="D15" s="152">
        <f t="shared" si="0"/>
        <v>0</v>
      </c>
    </row>
    <row r="16" spans="1:5">
      <c r="A16" s="147"/>
      <c r="B16" s="151"/>
      <c r="C16" s="122"/>
      <c r="D16" s="152">
        <f t="shared" si="0"/>
        <v>0</v>
      </c>
    </row>
    <row r="17" spans="1:4">
      <c r="A17" s="147"/>
      <c r="B17" s="151"/>
      <c r="C17" s="122"/>
      <c r="D17" s="152">
        <f t="shared" si="0"/>
        <v>0</v>
      </c>
    </row>
    <row r="18" spans="1:4">
      <c r="A18" s="147"/>
      <c r="B18" s="151"/>
      <c r="C18" s="122"/>
      <c r="D18" s="152">
        <f t="shared" si="0"/>
        <v>0</v>
      </c>
    </row>
    <row r="19" spans="1:4">
      <c r="A19" s="147"/>
      <c r="B19" s="151"/>
      <c r="C19" s="122"/>
      <c r="D19" s="152">
        <f t="shared" si="0"/>
        <v>0</v>
      </c>
    </row>
    <row r="20" spans="1:4">
      <c r="A20" s="147"/>
      <c r="B20" s="151"/>
      <c r="C20" s="122"/>
      <c r="D20" s="152">
        <f t="shared" si="0"/>
        <v>0</v>
      </c>
    </row>
    <row r="21" spans="1:4">
      <c r="A21" s="147"/>
      <c r="B21" s="151"/>
      <c r="C21" s="122"/>
      <c r="D21" s="152">
        <f t="shared" si="0"/>
        <v>0</v>
      </c>
    </row>
    <row r="22" spans="1:4">
      <c r="A22" s="147"/>
      <c r="B22" s="151"/>
      <c r="C22" s="122"/>
      <c r="D22" s="152">
        <f t="shared" si="0"/>
        <v>0</v>
      </c>
    </row>
    <row r="23" spans="1:4">
      <c r="A23" s="147"/>
      <c r="B23" s="151"/>
      <c r="C23" s="122"/>
      <c r="D23" s="152">
        <f t="shared" si="0"/>
        <v>0</v>
      </c>
    </row>
    <row r="24" spans="1:4">
      <c r="A24" s="147"/>
      <c r="B24" s="151"/>
      <c r="C24" s="122"/>
      <c r="D24" s="152">
        <f t="shared" si="0"/>
        <v>0</v>
      </c>
    </row>
    <row r="25" spans="1:4">
      <c r="A25" s="147"/>
      <c r="B25" s="151"/>
      <c r="C25" s="122"/>
      <c r="D25" s="152">
        <f t="shared" si="0"/>
        <v>0</v>
      </c>
    </row>
    <row r="26" spans="1:4">
      <c r="A26" s="147"/>
      <c r="B26" s="151"/>
      <c r="C26" s="122"/>
      <c r="D26" s="152">
        <f t="shared" si="0"/>
        <v>0</v>
      </c>
    </row>
    <row r="27" spans="1:4">
      <c r="A27" s="147"/>
      <c r="B27" s="151"/>
      <c r="C27" s="122"/>
      <c r="D27" s="152">
        <f t="shared" si="0"/>
        <v>0</v>
      </c>
    </row>
    <row r="28" spans="1:4">
      <c r="A28" s="147"/>
      <c r="B28" s="151"/>
      <c r="C28" s="122"/>
      <c r="D28" s="152">
        <f t="shared" si="0"/>
        <v>0</v>
      </c>
    </row>
    <row r="29" spans="1:4" ht="15" thickBot="1">
      <c r="A29" s="147"/>
      <c r="B29" s="153"/>
      <c r="C29" s="124"/>
      <c r="D29" s="154">
        <f t="shared" si="0"/>
        <v>0</v>
      </c>
    </row>
    <row r="30" spans="1:4" ht="15" thickBot="1">
      <c r="A30" s="160" t="s">
        <v>29</v>
      </c>
      <c r="B30" s="127">
        <f>SUM('Toilet Accessories'!R61+'Toilet Compartments'!R61+'Bike Racks'!R61+Lockers!R61+FEC!R61+'Med Equipment'!R61+Appliances!R61+'Cubicle Curtains'!R61+'Est (9)'!R61+'Est (10)'!R61)</f>
        <v>0</v>
      </c>
      <c r="C30" s="128"/>
      <c r="D30" s="129">
        <f>SUM(D9:D29)</f>
        <v>0</v>
      </c>
    </row>
    <row r="31" spans="1:4">
      <c r="A31" s="161" t="s">
        <v>30</v>
      </c>
      <c r="B31" s="155">
        <f>SUM('Toilet Accessories'!R64+'Toilet Compartments'!R64+'Bike Racks'!R64+Lockers!R64+FEC!R64+'Med Equipment'!R64+Appliances!R64+'Cubicle Curtains'!R64+'Est (9)'!R64+'Est (10)'!R64)</f>
        <v>0</v>
      </c>
      <c r="C31" s="125"/>
      <c r="D31" s="150">
        <f t="shared" si="0"/>
        <v>0</v>
      </c>
    </row>
    <row r="32" spans="1:4">
      <c r="A32" s="161" t="s">
        <v>31</v>
      </c>
      <c r="B32" s="156" t="e">
        <f>SUM('Toilet Accessories'!#REF!+'Toilet Compartments'!#REF!+'Bike Racks'!#REF!+Lockers!#REF!+FEC!#REF!+'Med Equipment'!#REF!+Appliances!#REF!+'Cubicle Curtains'!#REF!+'Est (9)'!#REF!+'Est (10)'!#REF!)</f>
        <v>#REF!</v>
      </c>
      <c r="C32" s="123"/>
      <c r="D32" s="152" t="e">
        <f t="shared" si="0"/>
        <v>#REF!</v>
      </c>
    </row>
    <row r="33" spans="1:4">
      <c r="A33" s="161" t="s">
        <v>32</v>
      </c>
      <c r="B33" s="156">
        <f>SUM('Toilet Accessories'!R65+'Toilet Compartments'!R65+'Bike Racks'!R65+Lockers!R65+FEC!R65+'Med Equipment'!R65+Appliances!R65+'Cubicle Curtains'!R65+'Est (9)'!R65+'Est (10)'!R65)</f>
        <v>0</v>
      </c>
      <c r="C33" s="123"/>
      <c r="D33" s="152">
        <f t="shared" si="0"/>
        <v>0</v>
      </c>
    </row>
    <row r="34" spans="1:4">
      <c r="A34" s="162" t="s">
        <v>35</v>
      </c>
      <c r="B34" s="156">
        <f>SUM('Toilet Accessories'!R66+'Toilet Compartments'!R66+'Bike Racks'!R66+Lockers!R66+FEC!R66+'Med Equipment'!R66+Appliances!R66+'Cubicle Curtains'!R66+'Est (9)'!R66+'Est (10)'!R66)</f>
        <v>0</v>
      </c>
      <c r="C34" s="123"/>
      <c r="D34" s="152">
        <f t="shared" si="0"/>
        <v>0</v>
      </c>
    </row>
    <row r="35" spans="1:4">
      <c r="A35" s="163" t="s">
        <v>36</v>
      </c>
      <c r="B35" s="156">
        <f>SUM('Toilet Accessories'!R67+'Toilet Compartments'!R67+'Bike Racks'!R67+Lockers!R67+FEC!R67+'Med Equipment'!R67+Appliances!R67+'Cubicle Curtains'!R67+'Est (9)'!R67+'Est (10)'!R67)</f>
        <v>0</v>
      </c>
      <c r="C35" s="123"/>
      <c r="D35" s="152">
        <f t="shared" si="0"/>
        <v>0</v>
      </c>
    </row>
    <row r="36" spans="1:4">
      <c r="A36" s="163" t="s">
        <v>26</v>
      </c>
      <c r="B36" s="156">
        <f>SUM('Toilet Accessories'!R68+'Toilet Compartments'!R68+'Bike Racks'!R68+Lockers!R68+FEC!R68+'Med Equipment'!R68+Appliances!R68+'Cubicle Curtains'!R68+'Est (9)'!R68+'Est (10)'!R68)</f>
        <v>0</v>
      </c>
      <c r="C36" s="123"/>
      <c r="D36" s="152">
        <f t="shared" si="0"/>
        <v>0</v>
      </c>
    </row>
    <row r="37" spans="1:4" ht="15" thickBot="1">
      <c r="A37" s="163" t="s">
        <v>27</v>
      </c>
      <c r="B37" s="157">
        <f>SUM('Toilet Accessories'!R69+'Toilet Compartments'!R69+'Bike Racks'!R69+Lockers!R69+FEC!R69+'Med Equipment'!R69+Appliances!R69+'Cubicle Curtains'!R69+'Est (9)'!R69+'Est (10)'!R69)</f>
        <v>0</v>
      </c>
      <c r="C37" s="130"/>
      <c r="D37" s="154">
        <f t="shared" si="0"/>
        <v>0</v>
      </c>
    </row>
    <row r="38" spans="1:4" ht="15" thickBot="1">
      <c r="A38" s="140" t="s">
        <v>39</v>
      </c>
      <c r="B38" s="127">
        <f>SUM('Toilet Accessories'!R70+'Toilet Compartments'!R70+'Bike Racks'!R70+Lockers!R70+FEC!R70+'Med Equipment'!R70+Appliances!R70+'Cubicle Curtains'!R70+'Est (9)'!R70+'Est (10)'!R70)</f>
        <v>0</v>
      </c>
      <c r="C38" s="128"/>
      <c r="D38" s="129" t="e">
        <f>SUM(D30:D37)</f>
        <v>#REF!</v>
      </c>
    </row>
    <row r="39" spans="1:4">
      <c r="A39" s="164" t="s">
        <v>15</v>
      </c>
      <c r="B39" s="155">
        <f>SUM('Toilet Accessories'!R71+'Toilet Compartments'!R71+'Bike Racks'!R71+Lockers!R71+FEC!R71+'Med Equipment'!R71+Appliances!R71+'Cubicle Curtains'!R71+'Est (9)'!R71+'Est (10)'!R71)</f>
        <v>0</v>
      </c>
      <c r="C39" s="125"/>
      <c r="D39" s="150">
        <f t="shared" si="0"/>
        <v>0</v>
      </c>
    </row>
    <row r="40" spans="1:4" ht="15" thickBot="1">
      <c r="A40" s="165" t="s">
        <v>0</v>
      </c>
      <c r="B40" s="157">
        <f>SUM('Toilet Accessories'!R72+'Toilet Compartments'!R72+'Bike Racks'!R72+Lockers!R72+FEC!R72+'Med Equipment'!R72+Appliances!R72+'Cubicle Curtains'!R72+'Est (9)'!R72+'Est (10)'!R72)</f>
        <v>0</v>
      </c>
      <c r="C40" s="130"/>
      <c r="D40" s="154">
        <f t="shared" si="0"/>
        <v>0</v>
      </c>
    </row>
    <row r="41" spans="1:4" ht="15" thickBot="1">
      <c r="A41" s="140" t="s">
        <v>39</v>
      </c>
      <c r="B41" s="127">
        <f>SUM('Toilet Accessories'!R73+'Toilet Compartments'!R73+'Bike Racks'!R73+Lockers!R73+FEC!R73+'Med Equipment'!R73+Appliances!R73+'Cubicle Curtains'!R73+'Est (9)'!R73+'Est (10)'!R73)</f>
        <v>0</v>
      </c>
      <c r="C41" s="128"/>
      <c r="D41" s="129" t="e">
        <f>SUM(D38:D40)</f>
        <v>#REF!</v>
      </c>
    </row>
    <row r="42" spans="1:4">
      <c r="A42" s="164" t="s">
        <v>23</v>
      </c>
      <c r="B42" s="155">
        <f>SUM('Toilet Accessories'!R74+'Toilet Compartments'!R74+'Bike Racks'!R74+Lockers!R74+FEC!R74+'Med Equipment'!R74+Appliances!R74+'Cubicle Curtains'!R74+'Est (9)'!R74+'Est (10)'!R74)</f>
        <v>0</v>
      </c>
      <c r="C42" s="125"/>
      <c r="D42" s="150">
        <f t="shared" si="0"/>
        <v>0</v>
      </c>
    </row>
    <row r="43" spans="1:4" ht="15" thickBot="1">
      <c r="A43" s="164" t="s">
        <v>24</v>
      </c>
      <c r="B43" s="157" t="e">
        <f>SUM('Toilet Accessories'!#REF!+'Toilet Compartments'!#REF!+'Bike Racks'!#REF!+Lockers!#REF!+FEC!#REF!+'Med Equipment'!#REF!+Appliances!#REF!+'Cubicle Curtains'!#REF!+'Est (9)'!#REF!+'Est (10)'!#REF!)</f>
        <v>#REF!</v>
      </c>
      <c r="C43" s="130"/>
      <c r="D43" s="154" t="e">
        <f t="shared" si="0"/>
        <v>#REF!</v>
      </c>
    </row>
    <row r="44" spans="1:4" ht="15" thickBot="1">
      <c r="A44" s="140" t="s">
        <v>39</v>
      </c>
      <c r="B44" s="127" t="e">
        <f>SUM('Toilet Accessories'!#REF!+'Toilet Compartments'!R75+'Bike Racks'!R75+Lockers!R75+FEC!R75+'Med Equipment'!R75+Appliances!R75+'Cubicle Curtains'!R75+'Est (9)'!R75+'Est (10)'!R75)</f>
        <v>#REF!</v>
      </c>
      <c r="C44" s="128"/>
      <c r="D44" s="129" t="e">
        <f>SUM(D41:D43)</f>
        <v>#REF!</v>
      </c>
    </row>
    <row r="45" spans="1:4" ht="15" thickBot="1">
      <c r="A45" s="165" t="s">
        <v>18</v>
      </c>
      <c r="B45" s="158" t="e">
        <f>SUM('Toilet Accessories'!#REF!+'Toilet Compartments'!#REF!+'Bike Racks'!#REF!+Lockers!#REF!+FEC!#REF!+'Med Equipment'!#REF!+Appliances!#REF!+'Cubicle Curtains'!#REF!+'Est (9)'!#REF!+'Est (10)'!#REF!)</f>
        <v>#REF!</v>
      </c>
      <c r="C45" s="141"/>
      <c r="D45" s="159" t="e">
        <f t="shared" si="0"/>
        <v>#REF!</v>
      </c>
    </row>
    <row r="46" spans="1:4" ht="16.2" thickBot="1">
      <c r="A46" s="144" t="s">
        <v>40</v>
      </c>
      <c r="B46" s="145" t="e">
        <f>SUM('Toilet Accessories'!#REF!+'Toilet Compartments'!#REF!+'Bike Racks'!#REF!+Lockers!#REF!+FEC!#REF!+'Med Equipment'!#REF!+Appliances!#REF!+'Cubicle Curtains'!#REF!+'Est (9)'!#REF!+'Est (10)'!#REF!)</f>
        <v>#REF!</v>
      </c>
      <c r="C46" s="142"/>
      <c r="D46" s="143" t="e">
        <f>SUM(D44:D45)</f>
        <v>#REF!</v>
      </c>
    </row>
    <row r="47" spans="1:4" ht="15" thickBot="1">
      <c r="A47" s="165" t="s">
        <v>37</v>
      </c>
      <c r="B47" s="158" t="e">
        <f>SUM('Toilet Accessories'!#REF!+'Toilet Compartments'!#REF!+'Bike Racks'!#REF!+Lockers!#REF!+FEC!#REF!+'Med Equipment'!#REF!+Appliances!#REF!+'Cubicle Curtains'!#REF!+'Est (9)'!#REF!+'Est (10)'!#REF!)</f>
        <v>#REF!</v>
      </c>
      <c r="C47" s="141"/>
      <c r="D47" s="159" t="e">
        <f t="shared" si="0"/>
        <v>#REF!</v>
      </c>
    </row>
    <row r="48" spans="1:4" ht="16.2" thickBot="1">
      <c r="A48" s="144" t="s">
        <v>38</v>
      </c>
      <c r="B48" s="145" t="e">
        <f>SUM('Toilet Accessories'!R79+'Toilet Compartments'!#REF!+'Bike Racks'!#REF!+Lockers!#REF!+FEC!#REF!+'Med Equipment'!#REF!+Appliances!#REF!+'Cubicle Curtains'!#REF!+'Est (9)'!#REF!+'Est (10)'!#REF!)</f>
        <v>#REF!</v>
      </c>
      <c r="C48" s="142"/>
      <c r="D48" s="143" t="e">
        <f>SUM(D46:D47)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summary sheet</vt:lpstr>
      <vt:lpstr>Toilet Accessories</vt:lpstr>
      <vt:lpstr>Toilet Compartments</vt:lpstr>
      <vt:lpstr>Bobrick Material Pricing 2025</vt:lpstr>
      <vt:lpstr>Bobrick Labor Factors</vt:lpstr>
      <vt:lpstr>Wall Protection</vt:lpstr>
      <vt:lpstr>Appliances</vt:lpstr>
      <vt:lpstr>Lockers</vt:lpstr>
      <vt:lpstr>Visual Displays</vt:lpstr>
      <vt:lpstr>FEC</vt:lpstr>
      <vt:lpstr>Bike Racks</vt:lpstr>
      <vt:lpstr>Wire Mesh Partitions</vt:lpstr>
      <vt:lpstr>Cubicle Curtains</vt:lpstr>
      <vt:lpstr>Med Equipment</vt:lpstr>
      <vt:lpstr>Est (9)</vt:lpstr>
      <vt:lpstr>Est (10)</vt:lpstr>
      <vt:lpstr>BUYOUT</vt:lpstr>
      <vt:lpstr>'summary sheet'!Print_Area</vt:lpstr>
      <vt:lpstr>'Toilet Accessories'!Print_Area</vt:lpstr>
      <vt:lpstr>Appliances!Print_Titles</vt:lpstr>
      <vt:lpstr>'Bike Racks'!Print_Titles</vt:lpstr>
      <vt:lpstr>'Cubicle Curtains'!Print_Titles</vt:lpstr>
      <vt:lpstr>'Est (10)'!Print_Titles</vt:lpstr>
      <vt:lpstr>'Est (9)'!Print_Titles</vt:lpstr>
      <vt:lpstr>FEC!Print_Titles</vt:lpstr>
      <vt:lpstr>Lockers!Print_Titles</vt:lpstr>
      <vt:lpstr>'Med Equipment'!Print_Titles</vt:lpstr>
      <vt:lpstr>'Toilet Accessories'!Print_Titles</vt:lpstr>
      <vt:lpstr>'Toilet Compartments'!Print_Titles</vt:lpstr>
      <vt:lpstr>'Visual Displays'!Print_Titles</vt:lpstr>
      <vt:lpstr>'Wall Protection'!Print_Titles</vt:lpstr>
      <vt:lpstr>'Wire Mesh Partitions'!Print_Titles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Haley Kruse</cp:lastModifiedBy>
  <cp:lastPrinted>2024-03-25T18:12:02Z</cp:lastPrinted>
  <dcterms:created xsi:type="dcterms:W3CDTF">2016-02-15T22:45:27Z</dcterms:created>
  <dcterms:modified xsi:type="dcterms:W3CDTF">2025-10-10T21:07:29Z</dcterms:modified>
</cp:coreProperties>
</file>